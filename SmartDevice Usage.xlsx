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merged" sheetId="1" r:id="rId5"/>
    <sheet state="visible" name="Pivot Table 1" sheetId="2" r:id="rId6"/>
    <sheet state="visible" name="Pivot Table 2" sheetId="3" r:id="rId7"/>
    <sheet state="visible" name="Pivot Table 3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<sst xmlns="http://schemas.openxmlformats.org/spreadsheetml/2006/main" count="49" uniqueCount="39">
  <si>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</si>
  <si>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</si>
  <si>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</si>
  <si>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</si>
  <si>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</si>
  <si>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</si>
  <si>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</si>
  <si>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</si>
  <si>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</si>
  <si>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</si>
  <si>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</si>
  <si>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</si>
  <si>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</si>
  <si>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</si>
  <si>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</si>
  <si>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DayNumber</t>
  </si>
  <si>
    <t>DayofWeek</t>
  </si>
  <si>
    <t>TotalActiveMinutes</t>
  </si>
  <si>
    <t>ActivityRate</t>
  </si>
  <si>
    <t>ActiviyLevelCategory</t>
  </si>
  <si>
    <t>AVERAGE of VeryActiveMinutes</t>
  </si>
  <si>
    <t>AVERAGE of FairlyActiveMinutes</t>
  </si>
  <si>
    <t>AVERAGE of LightlyActiveMinutes</t>
  </si>
  <si>
    <t>AVERAGE of TotalSteps</t>
  </si>
  <si>
    <t>AVERAGE of Calories</t>
  </si>
  <si>
    <t>Grand Total</t>
  </si>
  <si>
    <t>AVERAGE of TotalActiveMinutes</t>
  </si>
  <si>
    <t>AVERAGE of ActivityRate</t>
  </si>
  <si>
    <t>Tuesday</t>
  </si>
  <si>
    <t>Sunday</t>
  </si>
  <si>
    <t>Friday</t>
  </si>
  <si>
    <t>Thursday</t>
  </si>
  <si>
    <t>Saturday</t>
  </si>
  <si>
    <t>Monday</t>
  </si>
  <si>
    <t>Wednesday</t>
  </si>
  <si>
    <t>COUNT of Id</t>
  </si>
  <si>
    <t>Moderate</t>
  </si>
  <si>
    <t>High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</si>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</sst>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458" sheet="dailyActivity_merged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ctivityDate" numFmtId="164">
      <sharedItems containsSemiMixedTypes="0" containsDate="1" containsString="0"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</sharedItems>
    </cacheField>
    <cacheField name="TotalSteps" numFmtId="0">
      <sharedItems containsSemiMixedTypes="0" containsString="0" containsNumber="1" containsInteger="1">
        <n v="11004.0"/>
        <n v="17609.0"/>
        <n v="12736.0"/>
        <n v="13231.0"/>
        <n v="12041.0"/>
        <n v="10970.0"/>
        <n v="12256.0"/>
        <n v="12262.0"/>
        <n v="11248.0"/>
        <n v="10016.0"/>
        <n v="14557.0"/>
        <n v="14844.0"/>
        <n v="11974.0"/>
        <n v="10198.0"/>
        <n v="12521.0"/>
        <n v="12432.0"/>
        <n v="10057.0"/>
        <n v="10990.0"/>
        <n v="224.0"/>
        <n v="1810.0"/>
        <n v="815.0"/>
        <n v="1985.0"/>
        <n v="1905.0"/>
        <n v="1552.0"/>
        <n v="1675.0"/>
        <n v="4506.0"/>
        <n v="9218.0"/>
        <n v="1556.0"/>
        <n v="2910.0"/>
        <n v="18464.0"/>
        <n v="1335.0"/>
        <n v="1004.0"/>
        <n v="1111.0"/>
        <n v="6344.0"/>
        <n v="3572.0"/>
        <n v="3910.0"/>
        <n v="10000.0"/>
        <n v="6627.0"/>
        <n v="4636.0"/>
        <n v="20237.0"/>
        <n v="12912.0"/>
        <n v="2819.0"/>
        <n v="9921.0"/>
        <n v="8046.0"/>
        <n v="11166.0"/>
        <n v="7842.0"/>
        <n v="13840.0"/>
        <n v="1329.0"/>
        <n v="6847.0"/>
        <n v="5367.0"/>
        <n v="2841.0"/>
        <n v="0.0"/>
        <n v="7.0"/>
        <n v="5316.0"/>
        <n v="4979.0"/>
        <n v="6556.0"/>
        <n v="5430.0"/>
        <n v="4317.0"/>
        <n v="5662.0"/>
        <n v="3198.0"/>
        <n v="2352.0"/>
        <n v="2234.0"/>
        <n v="1259.0"/>
        <n v="768.0"/>
        <n v="519.0"/>
        <n v="2523.0"/>
        <n v="2105.0"/>
        <n v="1209.0"/>
        <n v="24.0"/>
        <n v="13603.0"/>
        <n v="5477.0"/>
        <n v="11144.0"/>
        <n v="15313.0"/>
        <n v="10805.0"/>
        <n v="15392.0"/>
        <n v="18247.0"/>
        <n v="13023.0"/>
        <n v="16267.0"/>
        <n v="10005.0"/>
        <n v="10106.0"/>
        <n v="6717.0"/>
        <n v="2605.0"/>
        <n v="1229.0"/>
        <n v="2308.0"/>
        <n v="6679.0"/>
        <n v="5645.0"/>
        <n v="3180.0"/>
        <n v="2767.0"/>
        <n v="3762.0"/>
        <n v="3098.0"/>
        <n v="5142.0"/>
        <n v="3279.0"/>
        <n v="1019.0"/>
        <n v="4931.0"/>
        <n v="6999.0"/>
        <n v="1846.0"/>
        <n v="3417.0"/>
        <n v="4863.0"/>
        <n v="2277.0"/>
        <n v="11230.0"/>
        <n v="2098.0"/>
        <n v="10272.0"/>
        <n v="10533.0"/>
        <n v="6760.0"/>
        <n v="8328.0"/>
        <n v="15459.0"/>
        <n v="7485.0"/>
        <n v="10254.0"/>
        <n v="10114.0"/>
        <n v="11107.0"/>
        <n v="10320.0"/>
        <n v="10209.0"/>
        <n v="16081.0"/>
        <n v="10078.0"/>
        <n v="10001.0"/>
        <n v="890.0"/>
        <n v="2214.0"/>
        <n v="7640.0"/>
        <n v="9713.0"/>
        <n v="8432.0"/>
        <n v="7350.0"/>
        <n v="9353.0"/>
        <n v="7157.0"/>
        <n v="14103.0"/>
        <n v="5290.0"/>
        <n v="7497.0"/>
        <n v="4126.0"/>
        <n v="2063.0"/>
        <n v="5785.0"/>
        <n v="7625.0"/>
        <n v="4706.0"/>
        <n v="5861.0"/>
        <n v="4460.0"/>
        <n v="6406.0"/>
        <n v="7392.0"/>
        <n v="5551.0"/>
        <n v="8827.0"/>
        <n v="4662.0"/>
        <n v="4499.0"/>
        <n v="7618.0"/>
        <n v="11508.0"/>
        <n v="11943.0"/>
        <n v="12303.0"/>
        <n v="15425.0"/>
        <n v="8422.0"/>
        <n v="10226.0"/>
        <n v="14583.0"/>
        <n v="3573.0"/>
        <n v="3108.0"/>
        <n v="759.0"/>
        <n v="5543.0"/>
        <n v="3226.0"/>
        <n v="3023.0"/>
        <n v="5906.0"/>
        <n v="12483.0"/>
        <n v="8940.0"/>
        <n v="368.0"/>
        <n v="5702.0"/>
        <n v="10330.0"/>
        <n v="8778.0"/>
        <n v="6662.0"/>
        <n v="6309.0"/>
        <n v="1951.0"/>
        <n v="5563.0"/>
        <n v="4370.0"/>
        <n v="7144.0"/>
        <n v="2106.0"/>
        <n v="4152.0"/>
        <n v="5400.0"/>
        <n v="7428.0"/>
        <n v="5351.0"/>
        <n v="4299.0"/>
        <n v="6107.0"/>
        <n v="6429.0"/>
        <n v="6880.0"/>
        <n v="7476.0"/>
        <n v="6581.0"/>
        <n v="10480.0"/>
        <n v="7734.0"/>
        <n v="5129.0"/>
        <n v="2993.0"/>
        <n v="8.0"/>
        <n v="8433.0"/>
        <n v="2139.0"/>
        <n v="949.0"/>
        <n v="44.0"/>
        <n v="2660.0"/>
        <n v="5561.0"/>
        <n v="7239.0"/>
        <n v="2275.0"/>
        <n v="5137.0"/>
        <n v="5419.0"/>
        <n v="18.0"/>
        <n v="4.0"/>
        <n v="8426.0"/>
        <n v="1650.0"/>
        <n v="3434.0"/>
        <n v="6801.0"/>
        <n v="187.0"/>
        <n v="5643.0"/>
        <n v="9043.0"/>
        <n v="8144.0"/>
        <n v="9343.0"/>
        <n v="8405.0"/>
        <n v="8223.0"/>
        <n v="10067.0"/>
        <n v="8359.0"/>
        <n v="10946.0"/>
        <n v="9130.0"/>
        <n v="6544.0"/>
        <n v="2303.0"/>
        <n v="2600.0"/>
        <n v="4804.0"/>
        <n v="3271.0"/>
        <n v="5406.0"/>
        <n v="3146.0"/>
        <n v="2422.0"/>
        <n v="4239.0"/>
        <n v="6911.0"/>
        <n v="6667.0"/>
        <n v="4195.0"/>
        <n v="6625.0"/>
        <n v="5986.0"/>
        <n v="278.0"/>
        <n v="5336.0"/>
        <n v="3183.0"/>
        <n v="6176.0"/>
        <n v="8205.0"/>
        <n v="6799.0"/>
        <n v="5668.0"/>
        <n v="7998.0"/>
        <n v="5512.0"/>
        <n v="6263.0"/>
        <n v="8828.0"/>
        <n v="1260.0"/>
        <n v="6506.0"/>
        <n v="7583.0"/>
        <n v="6963.0"/>
        <n v="7165.0"/>
        <n v="10328.0"/>
        <n v="12116.0"/>
        <n v="7810.0"/>
        <n v="6670.0"/>
        <n v="7605.0"/>
        <n v="6585.0"/>
        <n v="8184.0"/>
        <n v="14002.0"/>
        <n v="11135.0"/>
        <n v="6499.0"/>
        <n v="12409.0"/>
        <n v="2937.0"/>
        <n v="1515.0"/>
        <n v="8921.0"/>
        <n v="11306.0"/>
        <n v="12252.0"/>
        <n v="15444.0"/>
        <n v="9938.0"/>
        <n v="4599.0"/>
        <n v="5594.0"/>
        <n v="11906.0"/>
        <n v="3436.0"/>
        <n v="10461.0"/>
        <n v="14873.0"/>
        <n v="9917.0"/>
        <n v="7401.0"/>
        <n v="8964.0"/>
        <n v="11080.0"/>
        <n v="4363.0"/>
        <n v="10494.0"/>
        <n v="9776.0"/>
        <n v="2862.0"/>
        <n v="7444.0"/>
        <n v="19658.0"/>
        <n v="8468.0"/>
        <n v="9910.0"/>
        <n v="4853.0"/>
        <n v="8955.0"/>
        <n v="10789.0"/>
        <n v="6633.0"/>
        <n v="9548.0"/>
        <n v="2101.0"/>
        <n v="9766.0"/>
        <n v="165.0"/>
        <n v="7225.0"/>
        <n v="1988.0"/>
        <n v="1577.0"/>
        <n v="9348.0"/>
        <n v="11761.0"/>
        <n v="13987.0"/>
        <n v="4131.0"/>
        <n v="14.0"/>
        <n v="15491.0"/>
        <n v="14097.0"/>
        <n v="10467.0"/>
        <n v="12437.0"/>
        <n v="12307.0"/>
        <n v="18952.0"/>
        <n v="12010.0"/>
        <n v="12480.0"/>
        <n v="13417.0"/>
        <n v="14400.0"/>
        <n v="12495.0"/>
        <n v="10148.0"/>
        <n v="12362.0"/>
        <n v="5893.0"/>
        <n v="11680.0"/>
        <n v="10976.0"/>
        <n v="16806.0"/>
        <n v="15266.0"/>
        <n v="12084.0"/>
        <n v="13513.0"/>
        <n v="14100.0"/>
        <n v="12627.0"/>
        <n v="10345.0"/>
        <n v="10146.0"/>
        <n v="12168.0"/>
        <n v="7413.0"/>
        <n v="11463.0"/>
        <n v="87.0"/>
        <n v="1949.0"/>
        <n v="6101.0"/>
        <n v="7478.0"/>
        <n v="7352.0"/>
        <n v="14604.0"/>
        <n v="9634.0"/>
        <n v="7338.0"/>
        <n v="569.0"/>
        <n v="6242.0"/>
        <n v="430.0"/>
        <n v="20188.0"/>
        <n v="25701.0"/>
        <n v="17395.0"/>
        <n v="17167.0"/>
        <n v="16435.0"/>
        <n v="17078.0"/>
        <n v="11693.0"/>
        <n v="11159.0"/>
        <n v="10118.0"/>
        <n v="16064.0"/>
        <n v="290.0"/>
        <n v="1931.0"/>
        <n v="5181.0"/>
        <n v="12026.0"/>
        <n v="5360.0"/>
        <n v="2545.0"/>
        <n v="1636.0"/>
        <n v="14179.0"/>
        <n v="3358.0"/>
        <n v="9152.0"/>
        <n v="13935.0"/>
        <n v="12846.0"/>
        <n v="9124.0"/>
        <n v="9725.0"/>
        <n v="8350.0"/>
        <n v="2240.0"/>
        <n v="2631.0"/>
        <n v="8837.0"/>
        <n v="3246.0"/>
        <n v="2174.0"/>
        <n v="3494.0"/>
        <n v="2380.0"/>
        <n v="3159.0"/>
        <n v="6835.0"/>
        <n v="2816.0"/>
        <n v="1408.0"/>
        <n v="4592.0"/>
        <n v="8452.0"/>
        <n v="7238.0"/>
        <n v="3821.0"/>
        <n v="2332.0"/>
        <n v="2121.0"/>
        <n v="1291.0"/>
        <n v="1467.0"/>
        <n v="1022.0"/>
        <n v="4605.0"/>
        <n v="178.0"/>
        <n v="20.0"/>
        <n v="18700.0"/>
        <n v="27572.0"/>
        <n v="15260.0"/>
        <n v="20779.0"/>
        <n v="10695.0"/>
        <n v="24136.0"/>
        <n v="10910.0"/>
        <n v="23014.0"/>
        <n v="16470.0"/>
        <n v="28497.0"/>
        <n v="10622.0"/>
        <n v="2350.0"/>
      </sharedItems>
    </cacheField>
    <cacheField name="TotalDistance" numFmtId="0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22000002861023"/>
        <n v="1.61000001430511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0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85999965667725"/>
        <n v="9.64999961853027"/>
        <n v="10.8800001144409"/>
        <n v="8.26000022888184"/>
        <n v="6.71000003814697"/>
        <n v="9.09000015258789"/>
        <n v="3.90000009536743"/>
        <n v="9.0600004196167"/>
        <n v="11.2399997711182"/>
        <n v="11.3999996185303"/>
        <n v="9.14000034332275"/>
        <n v="10.25"/>
        <n v="10.5799999237061"/>
        <n v="6.92000007629395"/>
        <n v="5.76999998092651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</sharedItems>
    </cacheField>
    <cacheField name="TrackerDistance" numFmtId="0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57000017166138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3.22000002861023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779999971389771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25"/>
        <n v="8.86999988555908"/>
        <n v="9.52000045776367"/>
        <n v="8.26000022888184"/>
        <n v="6.71000003814697"/>
        <n v="8.17000007629395"/>
        <n v="3.90000009536743"/>
        <n v="7.80999994277954"/>
        <n v="11.2399997711182"/>
        <n v="10.210000038147"/>
        <n v="8.07999992370605"/>
        <n v="9.06999969482422"/>
        <n v="9.43000030517578"/>
        <n v="8.44999980926514"/>
        <n v="6.92000007629395"/>
        <n v="4.96000003814697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9.14000034332275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</sharedItems>
    </cacheField>
    <cacheField name="LoggedActivitiesDistance" numFmtId="0">
      <sharedItems containsSemiMixedTypes="0" containsString="0" containsNumber="1">
        <n v="0.0"/>
        <n v="4.82803201675415"/>
        <n v="3.21868801116943"/>
        <n v="1.60934400558472"/>
        <n v="0.055842999368906"/>
        <n v="2.02777290344238"/>
        <n v="6.72705698013306"/>
        <n v="3.97279500961304"/>
        <n v="1.92630195617676"/>
        <n v="5.45686388015747"/>
        <n v="2.69645500183105"/>
        <n v="4.901282787323"/>
        <n v="5.18984985351563"/>
        <n v="4.83638000488281"/>
        <n v="4.83572006225586"/>
        <n v="4.87598991394043"/>
        <n v="4.84231996536255"/>
        <n v="4.8697829246521"/>
        <n v="2.0921471118927"/>
        <n v="2.25308108329773"/>
      </sharedItems>
    </cacheField>
    <cacheField name="VeryActiveDistance" numFmtId="0">
      <sharedItems containsSemiMixedTypes="0" containsString="0" containsNumber="1">
        <n v="2.5699999332428"/>
        <n v="6.92000007629395"/>
        <n v="4.65999984741211"/>
        <n v="3.19000005722046"/>
        <n v="2.16000008583069"/>
        <n v="2.35999989509583"/>
        <n v="2.28999996185303"/>
        <n v="3.3199999332428"/>
        <n v="3.0"/>
        <n v="0.910000026226044"/>
        <n v="3.39000010490417"/>
        <n v="2.94000005722046"/>
        <n v="2.03999996185303"/>
        <n v="1.20000004768372"/>
        <n v="3.30999994277954"/>
        <n v="2.58999991416931"/>
        <n v="4.0"/>
        <n v="0.0"/>
        <n v="0.509999990463257"/>
        <n v="0.469999998807907"/>
        <n v="4.82999992370605"/>
        <n v="0.310000002384186"/>
        <n v="0.340000003576279"/>
        <n v="1.28999996185303"/>
        <n v="0.209999993443489"/>
        <n v="0.479999989271164"/>
        <n v="1.30999994277954"/>
        <n v="0.610000014305115"/>
        <n v="5.46000003814697"/>
        <n v="1.78999996185303"/>
        <n v="5.01999998092651"/>
        <n v="0.720000028610229"/>
        <n v="3.4300000667572"/>
        <n v="7.1100001335144"/>
        <n v="3.23000001907349"/>
        <n v="5.75"/>
        <n v="0.0799999982118607"/>
        <n v="1.21000003814697"/>
        <n v="0.0599999986588955"/>
        <n v="0.889999985694885"/>
        <n v="0.159999996423721"/>
        <n v="1.76999998092651"/>
        <n v="3.58999991416931"/>
        <n v="1.41999995708466"/>
        <n v="1.63999998569489"/>
        <n v="0.899999976158142"/>
        <n v="0.680000007152557"/>
        <n v="1.25"/>
        <n v="1.01999998092651"/>
        <n v="0.330000013113022"/>
        <n v="0.189999997615814"/>
        <n v="0.370000004768372"/>
        <n v="3.01999998092651"/>
        <n v="0.0399999991059303"/>
        <n v="1.67999994754791"/>
        <n v="1.29999995231628"/>
        <n v="0.779999971389771"/>
        <n v="0.870000004768372"/>
        <n v="1.03999996185303"/>
        <n v="2.17000007629395"/>
        <n v="1.02999997138977"/>
        <n v="1.71000003814697"/>
        <n v="1.62000000476837"/>
        <n v="2.48000001907349"/>
        <n v="0.939999997615814"/>
        <n v="0.0700000002980232"/>
        <n v="1.45000004768372"/>
        <n v="0.0199999995529652"/>
        <n v="0.620000004768372"/>
        <n v="0.0900000035762787"/>
        <n v="0.5"/>
        <n v="0.409999996423721"/>
        <n v="1.1599999666214"/>
        <n v="0.180000007152557"/>
        <n v="2.45000004768372"/>
        <n v="0.550000011920929"/>
        <n v="0.129999995231628"/>
        <n v="0.230000004172325"/>
        <n v="0.25"/>
        <n v="0.959999978542328"/>
        <n v="1.12999999523163"/>
        <n v="0.800000011920929"/>
        <n v="0.360000014305115"/>
        <n v="0.540000021457672"/>
        <n v="0.28999999165535"/>
        <n v="2.3199999332428"/>
        <n v="2.01999998092651"/>
        <n v="1.95000004768372"/>
        <n v="1.5900000333786"/>
        <n v="1.24000000953674"/>
        <n v="2.90000009536743"/>
        <n v="2.0699999332428"/>
        <n v="2.30999994277954"/>
        <n v="2.41000008583069"/>
        <n v="3.26999998092651"/>
        <n v="2.14000010490417"/>
        <n v="0.280000001192093"/>
        <n v="2.25999999046326"/>
        <n v="4.76000022888184"/>
        <n v="8.1899995803833"/>
        <n v="1.99000000953674"/>
        <n v="3.97000002861023"/>
        <n v="3.13000011444092"/>
        <n v="4.90999984741211"/>
        <n v="2.9300000667572"/>
        <n v="0.239999994635582"/>
        <n v="2.02999997138977"/>
        <n v="1.73000001907349"/>
        <n v="2.86999988555908"/>
        <n v="1.37000000476837"/>
        <n v="3.5"/>
        <n v="0.699999988079071"/>
        <n v="3.75999999046326"/>
        <n v="1.00999999046326"/>
        <n v="5.90999984741211"/>
        <n v="2.38000011444092"/>
        <n v="4.17999982833862"/>
        <n v="2.47000002861023"/>
        <n v="2.21000003814697"/>
        <n v="1.36000001430511"/>
        <n v="1.0900000333786"/>
        <n v="2.88000011444092"/>
        <n v="4.48999977111816"/>
        <n v="6.40999984741211"/>
        <n v="5.80000019073486"/>
        <n v="4.3899998664856"/>
        <n v="5.34999990463257"/>
        <n v="5.09999990463257"/>
        <n v="4.69999980926514"/>
        <n v="1.04999995231628"/>
        <n v="4.5"/>
        <n v="2.82999992370605"/>
        <n v="0.529999971389771"/>
        <n v="1.79999995231628"/>
        <n v="1.4099999666214"/>
        <n v="7.23000001907349"/>
        <n v="2.5"/>
        <n v="1.08000004291534"/>
        <n v="0.740000009536743"/>
        <n v="12.0600004196167"/>
        <n v="16.8199996948242"/>
        <n v="9.67000007629395"/>
        <n v="9.96000003814697"/>
        <n v="8.96000003814697"/>
        <n v="9.97000026702881"/>
        <n v="6.76999998092651"/>
        <n v="6.69000005722046"/>
        <n v="3.04999995231628"/>
        <n v="9.97999954223633"/>
        <n v="1.0"/>
        <n v="5.69999980926514"/>
        <n v="6.23000001907349"/>
        <n v="4.09000015258789"/>
        <n v="5.0"/>
        <n v="1.49000000953674"/>
        <n v="1.53999996185303"/>
        <n v="0.829999983310699"/>
        <n v="0.100000001490116"/>
        <n v="0.259999990463257"/>
        <n v="0.109999999403954"/>
        <n v="0.00999999977648258"/>
        <n v="8.69999980926514"/>
        <n v="14.7200002670288"/>
        <n v="11.7299995422363"/>
        <n v="0.769999980926514"/>
        <n v="12.2200002670288"/>
        <n v="2.96000003814697"/>
        <n v="11.1000003814697"/>
        <n v="21.9200000762939"/>
        <n v="1.47000002861023"/>
      </sharedItems>
    </cacheField>
    <cacheField name="ModeratelyActiveDistance" numFmtId="0">
      <sharedItems containsSemiMixedTypes="0" containsString="0" containsNumber="1">
        <n v="0.46000000834465"/>
        <n v="0.730000019073486"/>
        <n v="0.159999996423721"/>
        <n v="0.790000021457672"/>
        <n v="1.0900000333786"/>
        <n v="0.509999990463257"/>
        <n v="0.490000009536743"/>
        <n v="0.829999983310699"/>
        <n v="0.449999988079071"/>
        <n v="1.27999997138977"/>
        <n v="0.699999988079071"/>
        <n v="0.759999990463257"/>
        <n v="0.479999989271164"/>
        <n v="0.899999976158142"/>
        <n v="0.589999973773956"/>
        <n v="0.569999992847443"/>
        <n v="0.0"/>
        <n v="0.270000010728836"/>
        <n v="0.25"/>
        <n v="0.779999971389771"/>
        <n v="6.40000009536743"/>
        <n v="0.769999980926514"/>
        <n v="0.170000001788139"/>
        <n v="1.51999998092651"/>
        <n v="2.11999988555908"/>
        <n v="2.41000008583069"/>
        <n v="3.72000002861023"/>
        <n v="0.370000004768372"/>
        <n v="0.629999995231628"/>
        <n v="0.889999985694885"/>
        <n v="1.28999996185303"/>
        <n v="0.980000019073486"/>
        <n v="1.75"/>
        <n v="2.21000003814697"/>
        <n v="0.560000002384186"/>
        <n v="0.469999998807907"/>
        <n v="1.04999995231628"/>
        <n v="0.219999998807907"/>
        <n v="0.419999986886978"/>
        <n v="0.119999997317791"/>
        <n v="3.11999988555908"/>
        <n v="2.05999994277954"/>
        <n v="2.0"/>
        <n v="0.810000002384186"/>
        <n v="1.23000001907349"/>
        <n v="2.75999999046326"/>
        <n v="0.349999994039536"/>
        <n v="1.82000005245209"/>
        <n v="2.9300000667572"/>
        <n v="0.800000011920929"/>
        <n v="0.689999997615814"/>
        <n v="0.409999996423721"/>
        <n v="0.340000003576279"/>
        <n v="0.0399999991059303"/>
        <n v="0.0900000035762787"/>
        <n v="0.150000005960464"/>
        <n v="0.180000007152557"/>
        <n v="0.839999973773956"/>
        <n v="2.00999999046326"/>
        <n v="1.35000002384186"/>
        <n v="3.59999990463257"/>
        <n v="4.44000005722046"/>
        <n v="1.74000000953674"/>
        <n v="0.0500000007450581"/>
        <n v="0.920000016689301"/>
        <n v="0.209999993443489"/>
        <n v="0.949999988079071"/>
        <n v="0.28999999165535"/>
        <n v="1.47000002861023"/>
        <n v="0.239999994635582"/>
        <n v="0.330000013113022"/>
        <n v="1.29999995231628"/>
        <n v="0.360000014305115"/>
        <n v="5.48999977111816"/>
        <n v="0.300000011920929"/>
        <n v="0.430000007152557"/>
        <n v="0.610000014305115"/>
        <n v="0.850000023841858"/>
        <n v="0.189999997615814"/>
        <n v="1.50999999046326"/>
        <n v="1.41999995708466"/>
        <n v="0.529999971389771"/>
        <n v="2.08999991416931"/>
        <n v="0.379999995231628"/>
        <n v="0.259999990463257"/>
        <n v="0.100000001490116"/>
        <n v="0.230000004172325"/>
        <n v="0.860000014305115"/>
        <n v="0.550000011920929"/>
        <n v="1.46000003814697"/>
        <n v="2.84999990463257"/>
        <n v="1.20000004768372"/>
        <n v="0.620000004768372"/>
        <n v="2.6800000667572"/>
        <n v="1.1599999666214"/>
        <n v="0.439999997615814"/>
        <n v="1.70000004768372"/>
        <n v="1.73000001907349"/>
        <n v="1.48000001907349"/>
        <n v="0.670000016689301"/>
        <n v="0.600000023841858"/>
        <n v="0.970000028610229"/>
        <n v="1.37000000476837"/>
        <n v="0.0599999986588955"/>
        <n v="1.42999994754791"/>
        <n v="0.639999985694885"/>
        <n v="3.6800000667572"/>
        <n v="1.26999998092651"/>
        <n v="2.03999996185303"/>
        <n v="2.44000005722046"/>
        <n v="3.33999991416931"/>
        <n v="4.48999977111816"/>
        <n v="1.91999995708466"/>
        <n v="2.4300000667572"/>
        <n v="3.25999999046326"/>
        <n v="1.25"/>
        <n v="2.88000011444092"/>
        <n v="2.73000001907349"/>
        <n v="1.19000005722046"/>
        <n v="0.740000009536743"/>
        <n v="1.88999998569489"/>
        <n v="1.12000000476837"/>
        <n v="1.39999997615814"/>
        <n v="0.129999995231628"/>
        <n v="1.62999999523163"/>
        <n v="0.310000002384186"/>
        <n v="0.910000026226044"/>
        <n v="0.930000007152557"/>
        <n v="1.54999995231628"/>
        <n v="1.05999994277954"/>
        <n v="0.819999992847443"/>
        <n v="0.75"/>
        <n v="0.879999995231628"/>
        <n v="0.709999978542328"/>
        <n v="0.140000000596046"/>
        <n v="0.389999985694885"/>
        <n v="1.21000003814697"/>
        <n v="0.649999976158142"/>
        <n v="0.540000021457672"/>
        <n v="0.0199999995529652"/>
      </sharedItems>
    </cacheField>
    <cacheField name="LightActiveDistance" numFmtId="0">
      <sharedItems containsSemiMixedTypes="0" containsString="0" containsNumber="1">
        <n v="4.07000017166138"/>
        <n v="3.91000008583069"/>
        <n v="3.71000003814697"/>
        <n v="4.94999980926514"/>
        <n v="4.6100001335144"/>
        <n v="4.28999996185303"/>
        <n v="5.03999996185303"/>
        <n v="3.64000010490417"/>
        <n v="3.74000000953674"/>
        <n v="4.17999982833862"/>
        <n v="5.69000005722046"/>
        <n v="6.03999996185303"/>
        <n v="5.15000009536743"/>
        <n v="4.44999980926514"/>
        <n v="4.92000007629395"/>
        <n v="2.48000001907349"/>
        <n v="4.65000009536743"/>
        <n v="0.129999995231628"/>
        <n v="1.12999999523163"/>
        <n v="0.529999971389771"/>
        <n v="1.27999997138977"/>
        <n v="1.24000000953674"/>
        <n v="1.0"/>
        <n v="1.0900000333786"/>
        <n v="2.15000009536743"/>
        <n v="5.96999979019165"/>
        <n v="1.00999999046326"/>
        <n v="1.87999999523163"/>
        <n v="12.0"/>
        <n v="0.870000004768372"/>
        <n v="0.649999976158142"/>
        <n v="0.720000028610229"/>
        <n v="4.09999990463257"/>
        <n v="2.28999996185303"/>
        <n v="1.80999994277954"/>
        <n v="6.5"/>
        <n v="4.30999994277954"/>
        <n v="2.59999990463257"/>
        <n v="5.73000001907349"/>
        <n v="3.78999996185303"/>
        <n v="1.55999994277954"/>
        <n v="5.3600001335144"/>
        <n v="2.45000004768372"/>
        <n v="5.5"/>
        <n v="2.80999994277954"/>
        <n v="5.03000020980835"/>
        <n v="0.970000028610229"/>
        <n v="3.54999995231628"/>
        <n v="0.0"/>
        <n v="4.19000005722046"/>
        <n v="3.50999999046326"/>
        <n v="3.28999996185303"/>
        <n v="4.32999992370605"/>
        <n v="3.58999991416931"/>
        <n v="2.61999988555908"/>
        <n v="3.92000007629395"/>
        <n v="2.21000003814697"/>
        <n v="1.62999999523163"/>
        <n v="1.54999995231628"/>
        <n v="0.360000014305115"/>
        <n v="1.37999999523163"/>
        <n v="1.46000003814697"/>
        <n v="0.839999973773956"/>
        <n v="0.0199999995529652"/>
        <n v="3.83999991416931"/>
        <n v="5.1399998664856"/>
        <n v="4.69000005722046"/>
        <n v="5.8899998664856"/>
        <n v="5.75"/>
        <n v="4.51000022888184"/>
        <n v="5.46999979019165"/>
        <n v="6.36999988555908"/>
        <n v="5.90000009536743"/>
        <n v="5.32999992370605"/>
        <n v="1.26999998092651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4.71999979019165"/>
        <n v="2.29999995231628"/>
        <n v="2.79999995231628"/>
        <n v="1.52999997138977"/>
        <n v="6.65999984741211"/>
        <n v="1.4099999666214"/>
        <n v="3.26999998092651"/>
        <n v="4.46999979019165"/>
        <n v="5.82000017166138"/>
        <n v="4.15999984741211"/>
        <n v="4.67999982833862"/>
        <n v="3.6800000667572"/>
        <n v="4.94000005722046"/>
        <n v="6.23000001907349"/>
        <n v="7.55999994277954"/>
        <n v="3.35999989509583"/>
        <n v="0.600000023841858"/>
        <n v="1.49000000953674"/>
        <n v="4.15000009536743"/>
        <n v="5.28999996185303"/>
        <n v="5.65000009536743"/>
        <n v="5.23999977111816"/>
        <n v="4.80999994277954"/>
        <n v="6.1399998664856"/>
        <n v="3.17000007629395"/>
        <n v="3.22000002861023"/>
        <n v="1.61000001430511"/>
        <n v="3.21000003814697"/>
        <n v="2.49000000953674"/>
        <n v="3.01999998092651"/>
        <n v="3.51999998092651"/>
        <n v="4.05000019073486"/>
        <n v="3.76999998092651"/>
        <n v="4.0"/>
        <n v="1.99000000953674"/>
        <n v="3.00999999046326"/>
        <n v="4.90999984741211"/>
        <n v="5.17000007629395"/>
        <n v="6.86999988555908"/>
        <n v="2.03999996185303"/>
        <n v="2.40000009536743"/>
        <n v="5.53000020980835"/>
        <n v="1.96000003814697"/>
        <n v="0.569999992847443"/>
        <n v="3.96000003814697"/>
        <n v="2.27999997138977"/>
        <n v="2.14000010490417"/>
        <n v="4.03999996185303"/>
        <n v="6.90000009536743"/>
        <n v="0.610000014305115"/>
        <n v="0.209999993443489"/>
        <n v="2.96000003814697"/>
        <n v="3.84999990463257"/>
        <n v="2.74000000953674"/>
        <n v="4.3600001335144"/>
        <n v="3.65000009536743"/>
        <n v="5.30999994277954"/>
        <n v="4.3899998664856"/>
        <n v="5.01000022888184"/>
        <n v="3.8199999332428"/>
        <n v="2.08999991416931"/>
        <n v="0.00999999977648258"/>
        <n v="3.44000005722046"/>
        <n v="0.259999990463257"/>
        <n v="0.689999997615814"/>
        <n v="0.0299999993294477"/>
        <n v="1.94000005722046"/>
        <n v="4.38000011444092"/>
        <n v="1.6599999666214"/>
        <n v="3.75999999046326"/>
        <n v="0.540000021457672"/>
        <n v="1.21000003814697"/>
        <n v="4.96999979019165"/>
        <n v="0.140000000596046"/>
        <n v="3.23000001907349"/>
        <n v="5.36999988555908"/>
        <n v="4.46000003814697"/>
        <n v="4.34000015258789"/>
        <n v="4.86999988555908"/>
        <n v="5.26999998092651"/>
        <n v="3.85999989509583"/>
        <n v="1.74000000953674"/>
        <n v="2.19000005722046"/>
        <n v="3.60999989509583"/>
        <n v="2.10999989509583"/>
        <n v="2.52999997138977"/>
        <n v="2.35999989509583"/>
        <n v="2.54999995231628"/>
        <n v="3.72000002861023"/>
        <n v="1.95000004768372"/>
        <n v="0.189999997615814"/>
        <n v="3.52999997138977"/>
        <n v="2.09999990463257"/>
        <n v="3.75"/>
        <n v="5.42000007629395"/>
        <n v="4.53000020980835"/>
        <n v="2.76999998092651"/>
        <n v="4.13000011444092"/>
        <n v="5.84000015258789"/>
        <n v="0.819999992847443"/>
        <n v="4.67000007629395"/>
        <n v="5.34999990463257"/>
        <n v="5.44000005722046"/>
        <n v="6.92000007629395"/>
        <n v="6.71999979019165"/>
        <n v="3.36999988555908"/>
        <n v="5.63000011444092"/>
        <n v="5.34000015258789"/>
        <n v="5.94999980926514"/>
        <n v="8.0600004196167"/>
        <n v="7.78999996185303"/>
        <n v="4.57999992370605"/>
        <n v="1.9099999666214"/>
        <n v="0.990000009536743"/>
        <n v="4.09000015258789"/>
        <n v="3.89000010490417"/>
        <n v="5.07999992370605"/>
        <n v="3.07999992370605"/>
        <n v="3.0"/>
        <n v="1.88999998569489"/>
        <n v="3.99000000953674"/>
        <n v="1.04999995231628"/>
        <n v="2.25"/>
        <n v="2.30999994277954"/>
        <n v="4.44000005722046"/>
        <n v="2.88000011444092"/>
        <n v="3.80999994277954"/>
        <n v="5.61999988555908"/>
        <n v="12.5100002288818"/>
        <n v="5.57000017166138"/>
        <n v="7.48000001907349"/>
        <n v="9.36999988555908"/>
        <n v="3.66000008583069"/>
        <n v="6.73000001907349"/>
        <n v="8.14999961853027"/>
        <n v="1.51999998092651"/>
        <n v="7.46000003814697"/>
        <n v="2.1800000667572"/>
        <n v="0.170000001788139"/>
        <n v="3.14000010490417"/>
        <n v="0.980000019073486"/>
        <n v="3.90000009536743"/>
        <n v="3.24000000953674"/>
        <n v="3.86999988555908"/>
        <n v="5.65999984741211"/>
        <n v="4.96000003814697"/>
        <n v="5.13000011444092"/>
        <n v="0.46000000834465"/>
        <n v="4.23999977111816"/>
        <n v="6.13000011444092"/>
        <n v="3.47000002861023"/>
        <n v="4.78999996185303"/>
        <n v="4.55999994277954"/>
        <n v="4.28000020980835"/>
        <n v="4.21000003814697"/>
        <n v="6.57999992370605"/>
        <n v="6.1100001335144"/>
        <n v="6.28999996185303"/>
        <n v="0.939999997615814"/>
        <n v="2.9300000667572"/>
        <n v="0.730000019073486"/>
        <n v="3.09999990463257"/>
        <n v="2.60999989509583"/>
        <n v="2.4300000667572"/>
        <n v="2.58999991416931"/>
        <n v="3.46000003814697"/>
        <n v="0.340000003576279"/>
        <n v="2.71000003814697"/>
        <n v="1.69000005722046"/>
        <n v="3.34999990463257"/>
        <n v="2.91000008583069"/>
        <n v="2.99000000953674"/>
        <n v="2.5"/>
        <n v="3.88000011444092"/>
        <n v="2.38000011444092"/>
        <n v="1.50999999046326"/>
        <n v="2.50999999046326"/>
        <n v="1.66999995708466"/>
        <n v="1.08000004291534"/>
        <n v="2.66000008583069"/>
        <n v="6.17000007629395"/>
        <n v="6.98999977111816"/>
        <n v="4.76999998092651"/>
        <n v="1.77999997138977"/>
        <n v="4.59000015258789"/>
        <n v="1.02999997138977"/>
        <n v="1.70000004768372"/>
        <n v="2.69000005722046"/>
        <n v="1.86000001430511"/>
        <n v="2.46000003814697"/>
        <n v="2.20000004768372"/>
        <n v="1.10000002384186"/>
        <n v="2.70000004768372"/>
        <n v="4.76000022888184"/>
        <n v="2.23000001907349"/>
        <n v="1.29999995231628"/>
        <n v="1.36000001430511"/>
        <n v="0.829999983310699"/>
        <n v="2.95000004768372"/>
        <n v="0.109999999403954"/>
        <n v="6.90999984741211"/>
        <n v="7.34000015258789"/>
        <n v="6.0"/>
        <n v="7.09000015258789"/>
        <n v="8.07999992370605"/>
        <n v="8.61999988555908"/>
        <n v="8.02000045776367"/>
      </sharedItems>
    </cacheField>
    <cacheField name="SedentaryActiveDistance" numFmtId="0">
      <sharedItems containsSemiMixedTypes="0" containsString="0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</sharedItems>
    </cacheField>
    <cacheField name="VeryActiveMinutes" numFmtId="0">
      <sharedItems containsSemiMixedTypes="0" containsString="0" containsNumber="1" containsInteger="1">
        <n v="33.0"/>
        <n v="89.0"/>
        <n v="56.0"/>
        <n v="39.0"/>
        <n v="28.0"/>
        <n v="30.0"/>
        <n v="47.0"/>
        <n v="40.0"/>
        <n v="15.0"/>
        <n v="43.0"/>
        <n v="36.0"/>
        <n v="27.0"/>
        <n v="17.0"/>
        <n v="46.0"/>
        <n v="32.0"/>
        <n v="44.0"/>
        <n v="26.0"/>
        <n v="0.0"/>
        <n v="7.0"/>
        <n v="34.0"/>
        <n v="59.0"/>
        <n v="4.0"/>
        <n v="5.0"/>
        <n v="18.0"/>
        <n v="3.0"/>
        <n v="9.0"/>
        <n v="72.0"/>
        <n v="25.0"/>
        <n v="62.0"/>
        <n v="1.0"/>
        <n v="41.0"/>
        <n v="10.0"/>
        <n v="2.0"/>
        <n v="21.0"/>
        <n v="51.0"/>
        <n v="14.0"/>
        <n v="16.0"/>
        <n v="12.0"/>
        <n v="6.0"/>
        <n v="24.0"/>
        <n v="20.0"/>
        <n v="22.0"/>
        <n v="29.0"/>
        <n v="35.0"/>
        <n v="31.0"/>
        <n v="8.0"/>
        <n v="23.0"/>
        <n v="38.0"/>
        <n v="99.0"/>
        <n v="202.0"/>
        <n v="58.0"/>
        <n v="70.0"/>
        <n v="107.0"/>
        <n v="83.0"/>
        <n v="123.0"/>
        <n v="80.0"/>
        <n v="50.0"/>
        <n v="73.0"/>
        <n v="55.0"/>
        <n v="45.0"/>
        <n v="19.0"/>
        <n v="104.0"/>
        <n v="64.0"/>
        <n v="61.0"/>
        <n v="54.0"/>
        <n v="53.0"/>
        <n v="76.0"/>
        <n v="124.0"/>
        <n v="165.0"/>
        <n v="100.0"/>
        <n v="98.0"/>
        <n v="101.0"/>
        <n v="60.0"/>
        <n v="96.0"/>
        <n v="105.0"/>
        <n v="113.0"/>
        <n v="74.0"/>
        <n v="65.0"/>
        <n v="67.0"/>
        <n v="116.0"/>
        <n v="106.0"/>
        <n v="78.0"/>
        <n v="87.0"/>
        <n v="90.0"/>
        <n v="128.0"/>
      </sharedItems>
    </cacheField>
    <cacheField name="FairlyActiveMinutes" numFmtId="0">
      <sharedItems containsSemiMixedTypes="0" containsString="0" containsNumber="1" containsInteger="1">
        <n v="12.0"/>
        <n v="17.0"/>
        <n v="5.0"/>
        <n v="20.0"/>
        <n v="28.0"/>
        <n v="13.0"/>
        <n v="21.0"/>
        <n v="11.0"/>
        <n v="30.0"/>
        <n v="18.0"/>
        <n v="22.0"/>
        <n v="15.0"/>
        <n v="14.0"/>
        <n v="0.0"/>
        <n v="4.0"/>
        <n v="7.0"/>
        <n v="16.0"/>
        <n v="141.0"/>
        <n v="35.0"/>
        <n v="41.0"/>
        <n v="58.0"/>
        <n v="43.0"/>
        <n v="81.0"/>
        <n v="9.0"/>
        <n v="19.0"/>
        <n v="37.0"/>
        <n v="42.0"/>
        <n v="62.0"/>
        <n v="23.0"/>
        <n v="2.0"/>
        <n v="33.0"/>
        <n v="25.0"/>
        <n v="46.0"/>
        <n v="32.0"/>
        <n v="6.0"/>
        <n v="3.0"/>
        <n v="52.0"/>
        <n v="24.0"/>
        <n v="8.0"/>
        <n v="660.0"/>
        <n v="1.0"/>
        <n v="10.0"/>
        <n v="45.0"/>
        <n v="101.0"/>
        <n v="36.0"/>
        <n v="120.0"/>
        <n v="39.0"/>
        <n v="51.0"/>
        <n v="57.0"/>
        <n v="27.0"/>
        <n v="56.0"/>
        <n v="26.0"/>
        <n v="31.0"/>
        <n v="107.0"/>
        <n v="50.0"/>
        <n v="133.0"/>
        <n v="99.0"/>
        <n v="114.0"/>
        <n v="77.0"/>
        <n v="38.0"/>
        <n v="48.0"/>
        <n v="29.0"/>
      </sharedItems>
    </cacheField>
    <cacheField name="LightlyActiveMinutes" numFmtId="0">
      <sharedItems containsSemiMixedTypes="0" containsString="0" containsNumber="1" containsInteger="1">
        <n v="205.0"/>
        <n v="274.0"/>
        <n v="268.0"/>
        <n v="224.0"/>
        <n v="243.0"/>
        <n v="223.0"/>
        <n v="239.0"/>
        <n v="200.0"/>
        <n v="244.0"/>
        <n v="314.0"/>
        <n v="285.0"/>
        <n v="341.0"/>
        <n v="228.0"/>
        <n v="195.0"/>
        <n v="212.0"/>
        <n v="248.0"/>
        <n v="168.0"/>
        <n v="216.0"/>
        <n v="9.0"/>
        <n v="121.0"/>
        <n v="47.0"/>
        <n v="112.0"/>
        <n v="95.0"/>
        <n v="66.0"/>
        <n v="84.0"/>
        <n v="144.0"/>
        <n v="221.0"/>
        <n v="88.0"/>
        <n v="157.0"/>
        <n v="270.0"/>
        <n v="74.0"/>
        <n v="55.0"/>
        <n v="54.0"/>
        <n v="143.0"/>
        <n v="122.0"/>
        <n v="186.0"/>
        <n v="172.0"/>
        <n v="89.0"/>
        <n v="586.0"/>
        <n v="347.0"/>
        <n v="283.0"/>
        <n v="87.0"/>
        <n v="219.0"/>
        <n v="137.0"/>
        <n v="230.0"/>
        <n v="161.0"/>
        <n v="192.0"/>
        <n v="35.0"/>
        <n v="251.0"/>
        <n v="263.0"/>
        <n v="136.0"/>
        <n v="0.0"/>
        <n v="1.0"/>
        <n v="290.0"/>
        <n v="184.0"/>
        <n v="305.0"/>
        <n v="267.0"/>
        <n v="146.0"/>
        <n v="128.0"/>
        <n v="108.0"/>
        <n v="73.0"/>
        <n v="43.0"/>
        <n v="34.0"/>
        <n v="134.0"/>
        <n v="139.0"/>
        <n v="3.0"/>
        <n v="213.0"/>
        <n v="237.0"/>
        <n v="279.0"/>
        <n v="233.0"/>
        <n v="298.0"/>
        <n v="258.0"/>
        <n v="252.0"/>
        <n v="296.0"/>
        <n v="302.0"/>
        <n v="339.0"/>
        <n v="272.0"/>
        <n v="67.0"/>
        <n v="166.0"/>
        <n v="69.0"/>
        <n v="115.0"/>
        <n v="185.0"/>
        <n v="170.0"/>
        <n v="173.0"/>
        <n v="164.0"/>
        <n v="64.0"/>
        <n v="175.0"/>
        <n v="320.0"/>
        <n v="93.0"/>
        <n v="153.0"/>
        <n v="208.0"/>
        <n v="103.0"/>
        <n v="390.0"/>
        <n v="255.0"/>
        <n v="250.0"/>
        <n v="327.0"/>
        <n v="324.0"/>
        <n v="231.0"/>
        <n v="269.0"/>
        <n v="196.0"/>
        <n v="315.0"/>
        <n v="316.0"/>
        <n v="401.0"/>
        <n v="303.0"/>
        <n v="41.0"/>
        <n v="197.0"/>
        <n v="355.0"/>
        <n v="374.0"/>
        <n v="382.0"/>
        <n v="363.0"/>
        <n v="380.0"/>
        <n v="288.0"/>
        <n v="357.0"/>
        <n v="720.0"/>
        <n v="630.0"/>
        <n v="311.0"/>
        <n v="299.0"/>
        <n v="325.0"/>
        <n v="332.0"/>
        <n v="282.0"/>
        <n v="346.0"/>
        <n v="152.0"/>
        <n v="297.0"/>
        <n v="291.0"/>
        <n v="331.0"/>
        <n v="174.0"/>
        <n v="254.0"/>
        <n v="99.0"/>
        <n v="129.0"/>
        <n v="17.0"/>
        <n v="145.0"/>
        <n v="215.0"/>
        <n v="309.0"/>
        <n v="75.0"/>
        <n v="187.0"/>
        <n v="261.0"/>
        <n v="210.0"/>
        <n v="162.0"/>
        <n v="265.0"/>
        <n v="193.0"/>
        <n v="165.0"/>
        <n v="241.0"/>
        <n v="176.0"/>
        <n v="114.0"/>
        <n v="135.0"/>
        <n v="15.0"/>
        <n v="2.0"/>
        <n v="46.0"/>
        <n v="169.0"/>
        <n v="190.0"/>
        <n v="86.0"/>
        <n v="160.0"/>
        <n v="25.0"/>
        <n v="60.0"/>
        <n v="11.0"/>
        <n v="199.0"/>
        <n v="247.0"/>
        <n v="257.0"/>
        <n v="313.0"/>
        <n v="308.0"/>
        <n v="304.0"/>
        <n v="276.0"/>
        <n v="155.0"/>
        <n v="163.0"/>
        <n v="238.0"/>
        <n v="273.0"/>
        <n v="171.0"/>
        <n v="110.0"/>
        <n v="235.0"/>
        <n v="266.0"/>
        <n v="20.0"/>
        <n v="367.0"/>
        <n v="259.0"/>
        <n v="76.0"/>
        <n v="227.0"/>
        <n v="256.0"/>
        <n v="323.0"/>
        <n v="381.0"/>
        <n v="207.0"/>
        <n v="181.0"/>
        <n v="198.0"/>
        <n v="218.0"/>
        <n v="229.0"/>
        <n v="150.0"/>
        <n v="234.0"/>
        <n v="50.0"/>
        <n v="142.0"/>
        <n v="240.0"/>
        <n v="204.0"/>
        <n v="156.0"/>
        <n v="138.0"/>
        <n v="286.0"/>
        <n v="475.0"/>
        <n v="384.0"/>
        <n v="491.0"/>
        <n v="422.0"/>
        <n v="506.0"/>
        <n v="280.0"/>
        <n v="113.0"/>
        <n v="301.0"/>
        <n v="8.0"/>
        <n v="79.0"/>
        <n v="300.0"/>
        <n v="287.0"/>
        <n v="284.0"/>
        <n v="306.0"/>
        <n v="48.0"/>
        <n v="271.0"/>
        <n v="292.0"/>
        <n v="358.0"/>
        <n v="397.0"/>
        <n v="375.0"/>
        <n v="154.0"/>
        <n v="27.0"/>
        <n v="132.0"/>
        <n v="124.0"/>
        <n v="127.0"/>
        <n v="140.0"/>
        <n v="126.0"/>
        <n v="14.0"/>
        <n v="97.0"/>
        <n v="191.0"/>
        <n v="120.0"/>
        <n v="16.0"/>
        <n v="94.0"/>
        <n v="107.0"/>
        <n v="148.0"/>
        <n v="220.0"/>
        <n v="189.0"/>
        <n v="167.0"/>
        <n v="117.0"/>
        <n v="182.0"/>
        <n v="49.0"/>
        <n v="131.0"/>
        <n v="147.0"/>
        <n v="328.0"/>
        <n v="111.0"/>
        <n v="77.0"/>
        <n v="71.0"/>
        <n v="63.0"/>
        <n v="179.0"/>
        <n v="12.0"/>
        <n v="6.0"/>
        <n v="260.0"/>
        <n v="246.0"/>
        <n v="318.0"/>
        <n v="359.0"/>
        <n v="289.0"/>
        <n v="211.0"/>
        <n v="225.0"/>
        <n v="58.0"/>
      </sharedItems>
    </cacheField>
    <cacheField name="SedentaryMinutes" numFmtId="0">
      <sharedItems containsSemiMixedTypes="0" containsString="0" containsNumber="1" containsInteger="1">
        <n v="804.0"/>
        <n v="588.0"/>
        <n v="605.0"/>
        <n v="1080.0"/>
        <n v="763.0"/>
        <n v="1174.0"/>
        <n v="820.0"/>
        <n v="866.0"/>
        <n v="636.0"/>
        <n v="655.0"/>
        <n v="757.0"/>
        <n v="736.0"/>
        <n v="1173.0"/>
        <n v="1208.0"/>
        <n v="1160.0"/>
        <n v="738.0"/>
        <n v="737.0"/>
        <n v="855.0"/>
        <n v="32.0"/>
        <n v="1319.0"/>
        <n v="1393.0"/>
        <n v="1328.0"/>
        <n v="1345.0"/>
        <n v="1374.0"/>
        <n v="1356.0"/>
        <n v="1285.0"/>
        <n v="1219.0"/>
        <n v="1352.0"/>
        <n v="1283.0"/>
        <n v="1170.0"/>
        <n v="1366.0"/>
        <n v="1385.0"/>
        <n v="1386.0"/>
        <n v="1297.0"/>
        <n v="1318.0"/>
        <n v="1240.0"/>
        <n v="1268.0"/>
        <n v="604.0"/>
        <n v="838.0"/>
        <n v="918.0"/>
        <n v="1082.0"/>
        <n v="1181.0"/>
        <n v="1244.0"/>
        <n v="1149.0"/>
        <n v="1229.0"/>
        <n v="207.0"/>
        <n v="1171.0"/>
        <n v="1177.0"/>
        <n v="1114.0"/>
        <n v="669.0"/>
        <n v="1440.0"/>
        <n v="1439.0"/>
        <n v="1150.0"/>
        <n v="620.0"/>
        <n v="810.0"/>
        <n v="1189.0"/>
        <n v="426.0"/>
        <n v="854.0"/>
        <n v="858.0"/>
        <n v="1183.0"/>
        <n v="829.0"/>
        <n v="912.0"/>
        <n v="938.0"/>
        <n v="1397.0"/>
        <n v="1406.0"/>
        <n v="1250.0"/>
        <n v="805.0"/>
        <n v="842.0"/>
        <n v="161.0"/>
        <n v="1139.0"/>
        <n v="1203.0"/>
        <n v="1126.0"/>
        <n v="1069.0"/>
        <n v="1093.0"/>
        <n v="1054.0"/>
        <n v="1092.0"/>
        <n v="1078.0"/>
        <n v="1077.0"/>
        <n v="1111.0"/>
        <n v="551.0"/>
        <n v="729.0"/>
        <n v="795.0"/>
        <n v="720.0"/>
        <n v="644.0"/>
        <n v="621.0"/>
        <n v="673.0"/>
        <n v="719.0"/>
        <n v="700.0"/>
        <n v="654.0"/>
        <n v="694.0"/>
        <n v="223.0"/>
        <n v="1265.0"/>
        <n v="1120.0"/>
        <n v="1347.0"/>
        <n v="1287.0"/>
        <n v="1220.0"/>
        <n v="1337.0"/>
        <n v="1038.0"/>
        <n v="617.0"/>
        <n v="615.0"/>
        <n v="613.0"/>
        <n v="583.0"/>
        <n v="491.0"/>
        <n v="638.0"/>
        <n v="696.0"/>
        <n v="759.0"/>
        <n v="1002.0"/>
        <n v="711.0"/>
        <n v="970.0"/>
        <n v="463.0"/>
        <n v="788.0"/>
        <n v="425.0"/>
        <n v="1399.0"/>
        <n v="1243.0"/>
        <n v="1107.0"/>
        <n v="1055.0"/>
        <n v="1066.0"/>
        <n v="1058.0"/>
        <n v="1060.0"/>
        <n v="1098.0"/>
        <n v="1180.0"/>
        <n v="882.0"/>
        <n v="780.0"/>
        <n v="99.0"/>
        <n v="1129.0"/>
        <n v="1074.0"/>
        <n v="1141.0"/>
        <n v="1192.0"/>
        <n v="1094.0"/>
        <n v="1085.0"/>
        <n v="1158.0"/>
        <n v="1063.0"/>
        <n v="735.0"/>
        <n v="748.0"/>
        <n v="710.0"/>
        <n v="614.0"/>
        <n v="815.0"/>
        <n v="685.0"/>
        <n v="697.0"/>
        <n v="894.0"/>
        <n v="187.0"/>
        <n v="771.0"/>
        <n v="1005.0"/>
        <n v="874.0"/>
        <n v="599.0"/>
        <n v="986.0"/>
        <n v="1289.0"/>
        <n v="1253.0"/>
        <n v="860.0"/>
        <n v="752.0"/>
        <n v="776.0"/>
        <n v="741.0"/>
        <n v="1249.0"/>
        <n v="920.0"/>
        <n v="1191.0"/>
        <n v="1125.0"/>
        <n v="1185.0"/>
        <n v="1178.0"/>
        <n v="888.0"/>
        <n v="321.0"/>
        <n v="1438.0"/>
        <n v="1394.0"/>
        <n v="1271.0"/>
        <n v="1236.0"/>
        <n v="1354.0"/>
        <n v="1280.0"/>
        <n v="1295.0"/>
        <n v="1293.0"/>
        <n v="1380.0"/>
        <n v="1324.0"/>
        <n v="1247.0"/>
        <n v="400.0"/>
        <n v="683.0"/>
        <n v="702.0"/>
        <n v="578.0"/>
        <n v="569.0"/>
        <n v="668.0"/>
        <n v="1132.0"/>
        <n v="994.0"/>
        <n v="807.0"/>
        <n v="1277.0"/>
        <n v="786.0"/>
        <n v="898.0"/>
        <n v="672.0"/>
        <n v="1269.0"/>
        <n v="1330.0"/>
        <n v="745.0"/>
        <n v="939.0"/>
        <n v="941.0"/>
        <n v="758.0"/>
        <n v="755.0"/>
        <n v="789.0"/>
        <n v="253.0"/>
        <n v="1182.0"/>
        <n v="886.0"/>
        <n v="1073.0"/>
        <n v="1217.0"/>
        <n v="1105.0"/>
        <n v="1199.0"/>
        <n v="1164.0"/>
        <n v="555.0"/>
        <n v="760.0"/>
        <n v="742.0"/>
        <n v="708.0"/>
        <n v="475.0"/>
        <n v="471.0"/>
        <n v="746.0"/>
        <n v="770.0"/>
        <n v="808.0"/>
        <n v="407.0"/>
        <n v="528.0"/>
        <n v="809.0"/>
        <n v="782.0"/>
        <n v="356.0"/>
        <n v="507.0"/>
        <n v="754.0"/>
        <n v="772.0"/>
        <n v="731.0"/>
        <n v="767.0"/>
        <n v="552.0"/>
        <n v="688.0"/>
        <n v="61.0"/>
        <n v="721.0"/>
        <n v="663.0"/>
        <n v="689.0"/>
        <n v="756.0"/>
        <n v="695.0"/>
        <n v="813.0"/>
        <n v="601.0"/>
        <n v="209.0"/>
        <n v="568.0"/>
        <n v="466.0"/>
        <n v="1148.0"/>
        <n v="990.0"/>
        <n v="388.0"/>
        <n v="1018.0"/>
        <n v="413.0"/>
        <n v="1195.0"/>
        <n v="1407.0"/>
        <n v="494.0"/>
        <n v="1133.0"/>
        <n v="1432.0"/>
        <n v="198.0"/>
        <n v="909.0"/>
        <n v="1414.0"/>
        <n v="1011.0"/>
        <n v="550.0"/>
        <n v="739.0"/>
        <n v="1308.0"/>
        <n v="641.0"/>
        <n v="595.0"/>
        <n v="602.0"/>
        <n v="732.0"/>
        <n v="589.0"/>
        <n v="570.0"/>
        <n v="692.0"/>
        <n v="593.0"/>
        <n v="665.0"/>
        <n v="609.0"/>
        <n v="679.0"/>
        <n v="678.0"/>
        <n v="146.0"/>
        <n v="1075.0"/>
        <n v="1057.0"/>
        <n v="1030.0"/>
        <n v="1015.0"/>
        <n v="1020.0"/>
        <n v="405.0"/>
        <n v="777.0"/>
        <n v="872.0"/>
        <n v="1404.0"/>
        <n v="1159.0"/>
        <n v="814.0"/>
        <n v="797.0"/>
        <n v="717.0"/>
        <n v="1368.0"/>
        <n v="75.0"/>
        <n v="1142.0"/>
        <n v="1123.0"/>
        <n v="1135.0"/>
        <n v="1143.0"/>
        <n v="1221.0"/>
        <n v="1255.0"/>
        <n v="1346.0"/>
        <n v="1303.0"/>
        <n v="1230.0"/>
        <n v="1256.0"/>
        <n v="1314.0"/>
        <n v="657.0"/>
        <n v="600.0"/>
        <n v="658.0"/>
        <n v="686.0"/>
        <n v="728.0"/>
        <n v="670.0"/>
        <n v="868.0"/>
        <n v="843.0"/>
        <n v="727.0"/>
        <n v="811.0"/>
        <n v="243.0"/>
        <n v="1274.0"/>
        <n v="1309.0"/>
        <n v="1302.0"/>
        <n v="1052.0"/>
        <n v="1079.0"/>
        <n v="675.0"/>
        <n v="904.0"/>
        <n v="1261.0"/>
        <n v="1428.0"/>
        <n v="598.0"/>
        <n v="1040.0"/>
        <n v="1138.0"/>
        <n v="1019.0"/>
        <n v="982.0"/>
        <n v="1190.0"/>
        <n v="531.0"/>
      </sharedItems>
    </cacheField>
    <cacheField name="Calories" numFmtId="0">
      <sharedItems containsSemiMixedTypes="0" containsString="0" containsNumber="1" containsInteger="1">
        <n v="1819.0"/>
        <n v="2154.0"/>
        <n v="1944.0"/>
        <n v="1932.0"/>
        <n v="1886.0"/>
        <n v="1820.0"/>
        <n v="1889.0"/>
        <n v="1868.0"/>
        <n v="1843.0"/>
        <n v="1850.0"/>
        <n v="2030.0"/>
        <n v="2083.0"/>
        <n v="1861.0"/>
        <n v="1755.0"/>
        <n v="1895.0"/>
        <n v="1883.0"/>
        <n v="1811.0"/>
        <n v="50.0"/>
        <n v="1373.0"/>
        <n v="1264.0"/>
        <n v="1350.0"/>
        <n v="1342.0"/>
        <n v="1300.0"/>
        <n v="1313.0"/>
        <n v="1498.0"/>
        <n v="1541.0"/>
        <n v="1327.0"/>
        <n v="1452.0"/>
        <n v="1574.0"/>
        <n v="1308.0"/>
        <n v="1276.0"/>
        <n v="1278.0"/>
        <n v="1409.0"/>
        <n v="1370.0"/>
        <n v="1555.0"/>
        <n v="1469.0"/>
        <n v="706.0"/>
        <n v="3323.0"/>
        <n v="4029.0"/>
        <n v="3436.0"/>
        <n v="2444.0"/>
        <n v="3098.0"/>
        <n v="2925.0"/>
        <n v="3202.0"/>
        <n v="2928.0"/>
        <n v="3290.0"/>
        <n v="489.0"/>
        <n v="1969.0"/>
        <n v="1636.0"/>
        <n v="1347.0"/>
        <n v="1349.0"/>
        <n v="1965.0"/>
        <n v="1824.0"/>
        <n v="1807.0"/>
        <n v="1971.0"/>
        <n v="1888.0"/>
        <n v="399.0"/>
        <n v="2590.0"/>
        <n v="2783.0"/>
        <n v="2449.0"/>
        <n v="2380.0"/>
        <n v="2344.0"/>
        <n v="2202.0"/>
        <n v="2130.0"/>
        <n v="2088.0"/>
        <n v="2443.0"/>
        <n v="2442.0"/>
        <n v="2255.0"/>
        <n v="942.0"/>
        <n v="2645.0"/>
        <n v="2040.0"/>
        <n v="2395.0"/>
        <n v="2581.0"/>
        <n v="2735.0"/>
        <n v="2733.0"/>
        <n v="3021.0"/>
        <n v="2577.0"/>
        <n v="2811.0"/>
        <n v="2458.0"/>
        <n v="2568.0"/>
        <n v="1140.0"/>
        <n v="1407.0"/>
        <n v="1237.0"/>
        <n v="1330.0"/>
        <n v="1583.0"/>
        <n v="1538.0"/>
        <n v="1421.0"/>
        <n v="1392.0"/>
        <n v="1425.0"/>
        <n v="1413.0"/>
        <n v="1515.0"/>
        <n v="1405.0"/>
        <n v="600.0"/>
        <n v="1324.0"/>
        <n v="1708.0"/>
        <n v="1950.0"/>
        <n v="1508.0"/>
        <n v="1625.0"/>
        <n v="1772.0"/>
        <n v="1530.0"/>
        <n v="2206.0"/>
        <n v="790.0"/>
        <n v="2041.0"/>
        <n v="2187.0"/>
        <n v="1929.0"/>
        <n v="1935.0"/>
        <n v="2438.0"/>
        <n v="2035.0"/>
        <n v="2099.0"/>
        <n v="2096.0"/>
        <n v="2058.0"/>
        <n v="2338.0"/>
        <n v="2104.0"/>
        <n v="2488.0"/>
        <n v="2164.0"/>
        <n v="2009.0"/>
        <n v="1335.0"/>
        <n v="1559.0"/>
        <n v="1845.0"/>
        <n v="2046.0"/>
        <n v="1953.0"/>
        <n v="1910.0"/>
        <n v="2257.0"/>
        <n v="1724.0"/>
        <n v="1741.0"/>
        <n v="0.0"/>
        <n v="1920.0"/>
        <n v="4562.0"/>
        <n v="2881.0"/>
        <n v="1144.0"/>
        <n v="1852.0"/>
        <n v="2069.0"/>
        <n v="1816.0"/>
        <n v="1878.0"/>
        <n v="1787.0"/>
        <n v="2010.0"/>
        <n v="2038.0"/>
        <n v="1815.0"/>
        <n v="2062.0"/>
        <n v="1288.0"/>
        <n v="1490.0"/>
        <n v="1630.0"/>
        <n v="1648.0"/>
        <n v="1649.0"/>
        <n v="1783.0"/>
        <n v="1431.0"/>
        <n v="1524.0"/>
        <n v="1697.0"/>
        <n v="1232.0"/>
        <n v="1223.0"/>
        <n v="182.0"/>
        <n v="2990.0"/>
        <n v="2480.0"/>
        <n v="2570.0"/>
        <n v="3016.0"/>
        <n v="3830.0"/>
        <n v="3706.0"/>
        <n v="2024.0"/>
        <n v="2980.0"/>
        <n v="3728.0"/>
        <n v="3348.0"/>
        <n v="3162.0"/>
        <n v="3140.0"/>
        <n v="1980.0"/>
        <n v="3681.0"/>
        <n v="3444.0"/>
        <n v="3510.0"/>
        <n v="4010.0"/>
        <n v="2976.0"/>
        <n v="3418.0"/>
        <n v="3439.0"/>
        <n v="3338.0"/>
        <n v="2892.0"/>
        <n v="3313.0"/>
        <n v="3118.0"/>
        <n v="2966.0"/>
        <n v="3253.0"/>
        <n v="3032.0"/>
        <n v="4034.0"/>
        <n v="3264.0"/>
        <n v="2817.0"/>
        <n v="2507.0"/>
        <n v="446.0"/>
        <n v="1777.0"/>
        <n v="2453.0"/>
        <n v="1776.0"/>
        <n v="1870.0"/>
        <n v="1782.0"/>
        <n v="1978.0"/>
        <n v="2296.0"/>
        <n v="2484.0"/>
        <n v="2005.0"/>
        <n v="1778.0"/>
        <n v="2293.0"/>
        <n v="2259.0"/>
        <n v="1780.0"/>
        <n v="2360.0"/>
        <n v="1952.0"/>
        <n v="2101.0"/>
        <n v="2393.0"/>
        <n v="538.0"/>
        <n v="1958.0"/>
        <n v="2141.0"/>
        <n v="2129.0"/>
        <n v="2216.0"/>
        <n v="2178.0"/>
        <n v="2308.0"/>
        <n v="2201.0"/>
        <n v="2341.0"/>
        <n v="2236.0"/>
        <n v="1296.0"/>
        <n v="2032.0"/>
        <n v="2227.0"/>
        <n v="2133.0"/>
        <n v="2317.0"/>
        <n v="2217.0"/>
        <n v="2374.0"/>
        <n v="2335.0"/>
        <n v="2303.0"/>
        <n v="2210.0"/>
        <n v="2424.0"/>
        <n v="2297.0"/>
        <n v="745.0"/>
        <n v="1902.0"/>
        <n v="1680.0"/>
        <n v="1901.0"/>
        <n v="2078.0"/>
        <n v="1876.0"/>
        <n v="1853.0"/>
        <n v="2235.0"/>
        <n v="1882.0"/>
        <n v="1906.0"/>
        <n v="2149.0"/>
        <n v="722.0"/>
        <n v="2886.0"/>
        <n v="2915.0"/>
        <n v="2895.0"/>
        <n v="2923.0"/>
        <n v="3357.0"/>
        <n v="2931.0"/>
        <n v="2848.0"/>
        <n v="2943.0"/>
        <n v="2822.0"/>
        <n v="2981.0"/>
        <n v="3597.0"/>
        <n v="3224.0"/>
        <n v="2677.0"/>
        <n v="2142.0"/>
        <n v="1615.0"/>
        <n v="1481.0"/>
        <n v="1892.0"/>
        <n v="2086.0"/>
        <n v="2044.0"/>
        <n v="2249.0"/>
        <n v="2019.0"/>
        <n v="1692.0"/>
        <n v="1712.0"/>
        <n v="2065.0"/>
        <n v="633.0"/>
        <n v="3625.0"/>
        <n v="4430.0"/>
        <n v="3427.0"/>
        <n v="3492.0"/>
        <n v="3765.0"/>
        <n v="2775.0"/>
        <n v="2486.0"/>
        <n v="3817.0"/>
        <n v="3378.0"/>
        <n v="1511.0"/>
        <n v="2884.0"/>
        <n v="1496.0"/>
        <n v="2262.0"/>
        <n v="2445.0"/>
        <n v="2694.0"/>
        <n v="1903.0"/>
        <n v="2482.0"/>
        <n v="2617.0"/>
        <n v="2778.0"/>
        <n v="3119.0"/>
        <n v="2664.0"/>
        <n v="2060.0"/>
        <n v="735.0"/>
        <n v="2224.0"/>
        <n v="1849.0"/>
        <n v="1822.0"/>
        <n v="251.0"/>
        <n v="3065.0"/>
        <n v="2207.0"/>
        <n v="1977.0"/>
        <n v="1841.0"/>
        <n v="4286.0"/>
        <n v="3920.0"/>
        <n v="3856.0"/>
        <n v="2584.0"/>
        <n v="787.0"/>
        <n v="2244.0"/>
        <n v="2188.0"/>
        <n v="2014.0"/>
        <n v="2115.0"/>
        <n v="2055.0"/>
        <n v="2437.0"/>
        <n v="2158.0"/>
        <n v="2170.0"/>
        <n v="2231.0"/>
        <n v="2100.0"/>
        <n v="917.0"/>
        <n v="2573.0"/>
        <n v="2575.0"/>
        <n v="3086.0"/>
        <n v="2676.0"/>
        <n v="2840.0"/>
        <n v="2871.0"/>
        <n v="2613.0"/>
        <n v="2700.0"/>
        <n v="1023.0"/>
        <n v="2496.0"/>
        <n v="1641.0"/>
        <n v="1794.0"/>
        <n v="2421.0"/>
        <n v="2439.0"/>
        <n v="2233.0"/>
        <n v="2862.0"/>
        <n v="2752.0"/>
        <n v="2519.0"/>
        <n v="1799.0"/>
        <n v="2543.0"/>
        <n v="625.0"/>
        <n v="3377.0"/>
        <n v="3697.0"/>
        <n v="3209.0"/>
        <n v="3167.0"/>
        <n v="3122.0"/>
        <n v="3176.0"/>
        <n v="2790.0"/>
        <n v="2715.0"/>
        <n v="2684.0"/>
        <n v="3097.0"/>
        <n v="791.0"/>
        <n v="1429.0"/>
        <n v="1607.0"/>
        <n v="2162.0"/>
        <n v="1832.0"/>
        <n v="1657.0"/>
        <n v="1377.0"/>
        <n v="3669.0"/>
        <n v="2702.0"/>
        <n v="3304.0"/>
        <n v="4234.0"/>
        <n v="4128.0"/>
        <n v="3798.0"/>
        <n v="3839.0"/>
        <n v="3713.0"/>
        <n v="2606.0"/>
        <n v="2624.0"/>
        <n v="3775.0"/>
        <n v="2517.0"/>
        <n v="2400.0"/>
        <n v="2462.0"/>
        <n v="2786.0"/>
        <n v="2354.0"/>
        <n v="1814.0"/>
        <n v="2260.0"/>
        <n v="3004.0"/>
        <n v="2667.0"/>
        <n v="2229.0"/>
        <n v="2114.0"/>
        <n v="1961.0"/>
        <n v="1890.0"/>
        <n v="2253.0"/>
        <n v="1725.0"/>
        <n v="728.0"/>
        <n v="3527.0"/>
        <n v="4220.0"/>
        <n v="3864.0"/>
        <n v="3662.0"/>
        <n v="2834.0"/>
        <n v="4039.0"/>
        <n v="2947.0"/>
        <n v="4196.0"/>
        <n v="3841.0"/>
        <n v="4526.0"/>
        <n v="2820.0"/>
        <n v="93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00" sheet="dailyActivity_merged"/>
  </cacheSource>
  <cacheFields>
    <cacheField name="Id" numFmtId="0">
      <sharedItems containsString="0" containsBlank="1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  <m/>
      </sharedItems>
    </cacheField>
    <cacheField name="ActivityDate" numFmtId="164">
      <sharedItems containsDate="1" containsString="0" containsBlank="1"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m/>
      </sharedItems>
    </cacheField>
    <cacheField name="TotalSteps" numFmtId="0">
      <sharedItems containsString="0" containsBlank="1" containsNumber="1" containsInteger="1">
        <n v="11004.0"/>
        <n v="17609.0"/>
        <n v="12736.0"/>
        <n v="13231.0"/>
        <n v="12041.0"/>
        <n v="10970.0"/>
        <n v="12256.0"/>
        <n v="12262.0"/>
        <n v="11248.0"/>
        <n v="10016.0"/>
        <n v="14557.0"/>
        <n v="14844.0"/>
        <n v="11974.0"/>
        <n v="10198.0"/>
        <n v="12521.0"/>
        <n v="12432.0"/>
        <n v="10057.0"/>
        <n v="10990.0"/>
        <n v="224.0"/>
        <n v="1810.0"/>
        <n v="815.0"/>
        <n v="1985.0"/>
        <n v="1905.0"/>
        <n v="1552.0"/>
        <n v="1675.0"/>
        <n v="4506.0"/>
        <n v="9218.0"/>
        <n v="1556.0"/>
        <n v="2910.0"/>
        <n v="18464.0"/>
        <n v="1335.0"/>
        <n v="1004.0"/>
        <n v="1111.0"/>
        <n v="6344.0"/>
        <n v="3572.0"/>
        <n v="3910.0"/>
        <n v="10000.0"/>
        <n v="6627.0"/>
        <n v="4636.0"/>
        <n v="20237.0"/>
        <n v="12912.0"/>
        <n v="2819.0"/>
        <n v="9921.0"/>
        <n v="8046.0"/>
        <n v="11166.0"/>
        <n v="7842.0"/>
        <n v="13840.0"/>
        <n v="1329.0"/>
        <n v="6847.0"/>
        <n v="5367.0"/>
        <n v="2841.0"/>
        <n v="0.0"/>
        <n v="7.0"/>
        <n v="5316.0"/>
        <n v="4979.0"/>
        <n v="6556.0"/>
        <n v="5430.0"/>
        <n v="4317.0"/>
        <n v="5662.0"/>
        <n v="3198.0"/>
        <n v="2352.0"/>
        <n v="2234.0"/>
        <n v="1259.0"/>
        <n v="768.0"/>
        <n v="519.0"/>
        <n v="2523.0"/>
        <n v="2105.0"/>
        <n v="1209.0"/>
        <n v="24.0"/>
        <n v="13603.0"/>
        <n v="5477.0"/>
        <n v="11144.0"/>
        <n v="15313.0"/>
        <n v="10805.0"/>
        <n v="15392.0"/>
        <n v="18247.0"/>
        <n v="13023.0"/>
        <n v="16267.0"/>
        <n v="10005.0"/>
        <n v="10106.0"/>
        <n v="6717.0"/>
        <n v="2605.0"/>
        <n v="1229.0"/>
        <n v="2308.0"/>
        <n v="6679.0"/>
        <n v="5645.0"/>
        <n v="3180.0"/>
        <n v="2767.0"/>
        <n v="3762.0"/>
        <n v="3098.0"/>
        <n v="5142.0"/>
        <n v="3279.0"/>
        <n v="1019.0"/>
        <n v="4931.0"/>
        <n v="6999.0"/>
        <n v="1846.0"/>
        <n v="3417.0"/>
        <n v="4863.0"/>
        <n v="2277.0"/>
        <n v="11230.0"/>
        <n v="2098.0"/>
        <n v="10272.0"/>
        <n v="10533.0"/>
        <n v="6760.0"/>
        <n v="8328.0"/>
        <n v="15459.0"/>
        <n v="7485.0"/>
        <n v="10254.0"/>
        <n v="10114.0"/>
        <n v="11107.0"/>
        <n v="10320.0"/>
        <n v="10209.0"/>
        <n v="16081.0"/>
        <n v="10078.0"/>
        <n v="10001.0"/>
        <n v="890.0"/>
        <n v="2214.0"/>
        <n v="7640.0"/>
        <n v="9713.0"/>
        <n v="8432.0"/>
        <n v="7350.0"/>
        <n v="9353.0"/>
        <n v="7157.0"/>
        <n v="14103.0"/>
        <n v="5290.0"/>
        <n v="7497.0"/>
        <n v="4126.0"/>
        <n v="2063.0"/>
        <n v="5785.0"/>
        <n v="7625.0"/>
        <n v="4706.0"/>
        <n v="5861.0"/>
        <n v="4460.0"/>
        <n v="6406.0"/>
        <n v="7392.0"/>
        <n v="5551.0"/>
        <n v="8827.0"/>
        <n v="4662.0"/>
        <n v="4499.0"/>
        <n v="7618.0"/>
        <n v="11508.0"/>
        <n v="11943.0"/>
        <n v="12303.0"/>
        <n v="15425.0"/>
        <n v="8422.0"/>
        <n v="10226.0"/>
        <n v="14583.0"/>
        <n v="3573.0"/>
        <n v="3108.0"/>
        <n v="759.0"/>
        <n v="5543.0"/>
        <n v="3226.0"/>
        <n v="3023.0"/>
        <n v="5906.0"/>
        <n v="12483.0"/>
        <n v="8940.0"/>
        <n v="368.0"/>
        <n v="5702.0"/>
        <n v="10330.0"/>
        <n v="8778.0"/>
        <n v="6662.0"/>
        <n v="6309.0"/>
        <n v="1951.0"/>
        <n v="5563.0"/>
        <n v="4370.0"/>
        <n v="7144.0"/>
        <n v="2106.0"/>
        <n v="4152.0"/>
        <n v="5400.0"/>
        <n v="7428.0"/>
        <n v="5351.0"/>
        <n v="4299.0"/>
        <n v="6107.0"/>
        <n v="6429.0"/>
        <n v="6880.0"/>
        <n v="7476.0"/>
        <n v="6581.0"/>
        <n v="10480.0"/>
        <n v="7734.0"/>
        <n v="5129.0"/>
        <n v="2993.0"/>
        <n v="8.0"/>
        <n v="8433.0"/>
        <n v="2139.0"/>
        <n v="949.0"/>
        <n v="44.0"/>
        <n v="2660.0"/>
        <n v="5561.0"/>
        <n v="7239.0"/>
        <n v="2275.0"/>
        <n v="5137.0"/>
        <n v="5419.0"/>
        <n v="18.0"/>
        <n v="4.0"/>
        <n v="8426.0"/>
        <n v="1650.0"/>
        <n v="3434.0"/>
        <n v="6801.0"/>
        <n v="187.0"/>
        <n v="5643.0"/>
        <n v="9043.0"/>
        <n v="8144.0"/>
        <n v="9343.0"/>
        <n v="8405.0"/>
        <n v="8223.0"/>
        <n v="10067.0"/>
        <n v="8359.0"/>
        <n v="10946.0"/>
        <n v="9130.0"/>
        <n v="6544.0"/>
        <n v="2303.0"/>
        <n v="2600.0"/>
        <n v="4804.0"/>
        <n v="3271.0"/>
        <n v="5406.0"/>
        <n v="3146.0"/>
        <n v="2422.0"/>
        <n v="4239.0"/>
        <n v="6911.0"/>
        <n v="6667.0"/>
        <n v="4195.0"/>
        <n v="6625.0"/>
        <n v="5986.0"/>
        <n v="278.0"/>
        <n v="5336.0"/>
        <n v="3183.0"/>
        <n v="6176.0"/>
        <n v="8205.0"/>
        <n v="6799.0"/>
        <n v="5668.0"/>
        <n v="7998.0"/>
        <n v="5512.0"/>
        <n v="6263.0"/>
        <n v="8828.0"/>
        <n v="1260.0"/>
        <n v="6506.0"/>
        <n v="7583.0"/>
        <n v="6963.0"/>
        <n v="7165.0"/>
        <n v="10328.0"/>
        <n v="12116.0"/>
        <n v="7810.0"/>
        <n v="6670.0"/>
        <n v="7605.0"/>
        <n v="6585.0"/>
        <n v="8184.0"/>
        <n v="14002.0"/>
        <n v="11135.0"/>
        <n v="6499.0"/>
        <n v="12409.0"/>
        <n v="2937.0"/>
        <n v="1515.0"/>
        <n v="8921.0"/>
        <n v="11306.0"/>
        <n v="12252.0"/>
        <n v="15444.0"/>
        <n v="9938.0"/>
        <n v="4599.0"/>
        <n v="5594.0"/>
        <n v="11906.0"/>
        <n v="3436.0"/>
        <n v="10461.0"/>
        <n v="14873.0"/>
        <n v="9917.0"/>
        <n v="7401.0"/>
        <n v="8964.0"/>
        <n v="11080.0"/>
        <n v="4363.0"/>
        <n v="10494.0"/>
        <n v="9776.0"/>
        <n v="2862.0"/>
        <n v="7444.0"/>
        <n v="19658.0"/>
        <n v="8468.0"/>
        <n v="9910.0"/>
        <n v="4853.0"/>
        <n v="8955.0"/>
        <n v="10789.0"/>
        <n v="6633.0"/>
        <n v="9548.0"/>
        <n v="2101.0"/>
        <n v="9766.0"/>
        <n v="165.0"/>
        <n v="7225.0"/>
        <n v="1988.0"/>
        <n v="1577.0"/>
        <n v="9348.0"/>
        <n v="11761.0"/>
        <n v="13987.0"/>
        <n v="4131.0"/>
        <n v="14.0"/>
        <n v="15491.0"/>
        <n v="14097.0"/>
        <n v="10467.0"/>
        <n v="12437.0"/>
        <n v="12307.0"/>
        <n v="18952.0"/>
        <n v="12010.0"/>
        <n v="12480.0"/>
        <n v="13417.0"/>
        <n v="14400.0"/>
        <n v="12495.0"/>
        <n v="10148.0"/>
        <n v="12362.0"/>
        <n v="5893.0"/>
        <n v="11680.0"/>
        <n v="10976.0"/>
        <n v="16806.0"/>
        <n v="15266.0"/>
        <n v="12084.0"/>
        <n v="13513.0"/>
        <n v="14100.0"/>
        <n v="12627.0"/>
        <n v="10345.0"/>
        <n v="10146.0"/>
        <n v="12168.0"/>
        <n v="7413.0"/>
        <n v="11463.0"/>
        <n v="87.0"/>
        <n v="1949.0"/>
        <n v="6101.0"/>
        <n v="7478.0"/>
        <n v="7352.0"/>
        <n v="14604.0"/>
        <n v="9634.0"/>
        <n v="7338.0"/>
        <n v="569.0"/>
        <n v="6242.0"/>
        <n v="430.0"/>
        <n v="20188.0"/>
        <n v="25701.0"/>
        <n v="17395.0"/>
        <n v="17167.0"/>
        <n v="16435.0"/>
        <n v="17078.0"/>
        <n v="11693.0"/>
        <n v="11159.0"/>
        <n v="10118.0"/>
        <n v="16064.0"/>
        <n v="290.0"/>
        <n v="1931.0"/>
        <n v="5181.0"/>
        <n v="12026.0"/>
        <n v="5360.0"/>
        <n v="2545.0"/>
        <n v="1636.0"/>
        <n v="14179.0"/>
        <n v="3358.0"/>
        <n v="9152.0"/>
        <n v="13935.0"/>
        <n v="12846.0"/>
        <n v="9124.0"/>
        <n v="9725.0"/>
        <n v="8350.0"/>
        <n v="2240.0"/>
        <n v="2631.0"/>
        <n v="8837.0"/>
        <n v="3246.0"/>
        <n v="2174.0"/>
        <n v="3494.0"/>
        <n v="2380.0"/>
        <n v="3159.0"/>
        <n v="6835.0"/>
        <n v="2816.0"/>
        <n v="1408.0"/>
        <n v="4592.0"/>
        <n v="8452.0"/>
        <n v="7238.0"/>
        <n v="3821.0"/>
        <n v="2332.0"/>
        <n v="2121.0"/>
        <n v="1291.0"/>
        <n v="1467.0"/>
        <n v="1022.0"/>
        <n v="4605.0"/>
        <n v="178.0"/>
        <n v="20.0"/>
        <n v="18700.0"/>
        <n v="27572.0"/>
        <n v="15260.0"/>
        <n v="20779.0"/>
        <n v="10695.0"/>
        <n v="24136.0"/>
        <n v="10910.0"/>
        <n v="23014.0"/>
        <n v="16470.0"/>
        <n v="28497.0"/>
        <n v="10622.0"/>
        <n v="2350.0"/>
        <m/>
      </sharedItems>
    </cacheField>
    <cacheField name="TotalDistance" numFmtId="0">
      <sharedItems containsString="0" containsBlank="1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22000002861023"/>
        <n v="1.61000001430511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0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85999965667725"/>
        <n v="9.64999961853027"/>
        <n v="10.8800001144409"/>
        <n v="8.26000022888184"/>
        <n v="6.71000003814697"/>
        <n v="9.09000015258789"/>
        <n v="3.90000009536743"/>
        <n v="9.0600004196167"/>
        <n v="11.2399997711182"/>
        <n v="11.3999996185303"/>
        <n v="9.14000034332275"/>
        <n v="10.25"/>
        <n v="10.5799999237061"/>
        <n v="6.92000007629395"/>
        <n v="5.76999998092651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m/>
      </sharedItems>
    </cacheField>
    <cacheField name="TrackerDistance" numFmtId="0">
      <sharedItems containsString="0" containsBlank="1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57000017166138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3.22000002861023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779999971389771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25"/>
        <n v="8.86999988555908"/>
        <n v="9.52000045776367"/>
        <n v="8.26000022888184"/>
        <n v="6.71000003814697"/>
        <n v="8.17000007629395"/>
        <n v="3.90000009536743"/>
        <n v="7.80999994277954"/>
        <n v="11.2399997711182"/>
        <n v="10.210000038147"/>
        <n v="8.07999992370605"/>
        <n v="9.06999969482422"/>
        <n v="9.43000030517578"/>
        <n v="8.44999980926514"/>
        <n v="6.92000007629395"/>
        <n v="4.96000003814697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9.14000034332275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m/>
      </sharedItems>
    </cacheField>
    <cacheField name="LoggedActivitiesDistance" numFmtId="0">
      <sharedItems containsString="0" containsBlank="1" containsNumber="1">
        <n v="0.0"/>
        <n v="4.82803201675415"/>
        <n v="3.21868801116943"/>
        <n v="1.60934400558472"/>
        <n v="0.055842999368906"/>
        <n v="2.02777290344238"/>
        <n v="6.72705698013306"/>
        <n v="3.97279500961304"/>
        <n v="1.92630195617676"/>
        <n v="5.45686388015747"/>
        <n v="2.69645500183105"/>
        <n v="4.901282787323"/>
        <n v="5.18984985351563"/>
        <n v="4.83638000488281"/>
        <n v="4.83572006225586"/>
        <n v="4.87598991394043"/>
        <n v="4.84231996536255"/>
        <n v="4.8697829246521"/>
        <n v="2.0921471118927"/>
        <n v="2.25308108329773"/>
        <m/>
      </sharedItems>
    </cacheField>
    <cacheField name="VeryActiveDistance" numFmtId="0">
      <sharedItems containsString="0" containsBlank="1" containsNumber="1">
        <n v="2.5699999332428"/>
        <n v="6.92000007629395"/>
        <n v="4.65999984741211"/>
        <n v="3.19000005722046"/>
        <n v="2.16000008583069"/>
        <n v="2.35999989509583"/>
        <n v="2.28999996185303"/>
        <n v="3.3199999332428"/>
        <n v="3.0"/>
        <n v="0.910000026226044"/>
        <n v="3.39000010490417"/>
        <n v="2.94000005722046"/>
        <n v="2.03999996185303"/>
        <n v="1.20000004768372"/>
        <n v="3.30999994277954"/>
        <n v="2.58999991416931"/>
        <n v="4.0"/>
        <n v="0.0"/>
        <n v="0.509999990463257"/>
        <n v="0.469999998807907"/>
        <n v="4.82999992370605"/>
        <n v="0.310000002384186"/>
        <n v="0.340000003576279"/>
        <n v="1.28999996185303"/>
        <n v="0.209999993443489"/>
        <n v="0.479999989271164"/>
        <n v="1.30999994277954"/>
        <n v="0.610000014305115"/>
        <n v="5.46000003814697"/>
        <n v="1.78999996185303"/>
        <n v="5.01999998092651"/>
        <n v="0.720000028610229"/>
        <n v="3.4300000667572"/>
        <n v="7.1100001335144"/>
        <n v="3.23000001907349"/>
        <n v="5.75"/>
        <n v="0.0799999982118607"/>
        <n v="1.21000003814697"/>
        <n v="0.0599999986588955"/>
        <n v="0.889999985694885"/>
        <n v="0.159999996423721"/>
        <n v="1.76999998092651"/>
        <n v="3.58999991416931"/>
        <n v="1.41999995708466"/>
        <n v="1.63999998569489"/>
        <n v="0.899999976158142"/>
        <n v="0.680000007152557"/>
        <n v="1.25"/>
        <n v="1.01999998092651"/>
        <n v="0.330000013113022"/>
        <n v="0.189999997615814"/>
        <n v="0.370000004768372"/>
        <n v="3.01999998092651"/>
        <n v="0.0399999991059303"/>
        <n v="1.67999994754791"/>
        <n v="1.29999995231628"/>
        <n v="0.779999971389771"/>
        <n v="0.870000004768372"/>
        <n v="1.03999996185303"/>
        <n v="2.17000007629395"/>
        <n v="1.02999997138977"/>
        <n v="1.71000003814697"/>
        <n v="1.62000000476837"/>
        <n v="2.48000001907349"/>
        <n v="0.939999997615814"/>
        <n v="0.0700000002980232"/>
        <n v="1.45000004768372"/>
        <n v="0.0199999995529652"/>
        <n v="0.620000004768372"/>
        <n v="0.0900000035762787"/>
        <n v="0.5"/>
        <n v="0.409999996423721"/>
        <n v="1.1599999666214"/>
        <n v="0.180000007152557"/>
        <n v="2.45000004768372"/>
        <n v="0.550000011920929"/>
        <n v="0.129999995231628"/>
        <n v="0.230000004172325"/>
        <n v="0.25"/>
        <n v="0.959999978542328"/>
        <n v="1.12999999523163"/>
        <n v="0.800000011920929"/>
        <n v="0.360000014305115"/>
        <n v="0.540000021457672"/>
        <n v="0.28999999165535"/>
        <n v="2.3199999332428"/>
        <n v="2.01999998092651"/>
        <n v="1.95000004768372"/>
        <n v="1.5900000333786"/>
        <n v="1.24000000953674"/>
        <n v="2.90000009536743"/>
        <n v="2.0699999332428"/>
        <n v="2.30999994277954"/>
        <n v="2.41000008583069"/>
        <n v="3.26999998092651"/>
        <n v="2.14000010490417"/>
        <n v="0.280000001192093"/>
        <n v="2.25999999046326"/>
        <n v="4.76000022888184"/>
        <n v="8.1899995803833"/>
        <n v="1.99000000953674"/>
        <n v="3.97000002861023"/>
        <n v="3.13000011444092"/>
        <n v="4.90999984741211"/>
        <n v="2.9300000667572"/>
        <n v="0.239999994635582"/>
        <n v="2.02999997138977"/>
        <n v="1.73000001907349"/>
        <n v="2.86999988555908"/>
        <n v="1.37000000476837"/>
        <n v="3.5"/>
        <n v="0.699999988079071"/>
        <n v="3.75999999046326"/>
        <n v="1.00999999046326"/>
        <n v="5.90999984741211"/>
        <n v="2.38000011444092"/>
        <n v="4.17999982833862"/>
        <n v="2.47000002861023"/>
        <n v="2.21000003814697"/>
        <n v="1.36000001430511"/>
        <n v="1.0900000333786"/>
        <n v="2.88000011444092"/>
        <n v="4.48999977111816"/>
        <n v="6.40999984741211"/>
        <n v="5.80000019073486"/>
        <n v="4.3899998664856"/>
        <n v="5.34999990463257"/>
        <n v="5.09999990463257"/>
        <n v="4.69999980926514"/>
        <n v="1.04999995231628"/>
        <n v="4.5"/>
        <n v="2.82999992370605"/>
        <n v="0.529999971389771"/>
        <n v="1.79999995231628"/>
        <n v="1.4099999666214"/>
        <n v="7.23000001907349"/>
        <n v="2.5"/>
        <n v="1.08000004291534"/>
        <n v="0.740000009536743"/>
        <n v="12.0600004196167"/>
        <n v="16.8199996948242"/>
        <n v="9.67000007629395"/>
        <n v="9.96000003814697"/>
        <n v="8.96000003814697"/>
        <n v="9.97000026702881"/>
        <n v="6.76999998092651"/>
        <n v="6.69000005722046"/>
        <n v="3.04999995231628"/>
        <n v="9.97999954223633"/>
        <n v="1.0"/>
        <n v="5.69999980926514"/>
        <n v="6.23000001907349"/>
        <n v="4.09000015258789"/>
        <n v="5.0"/>
        <n v="1.49000000953674"/>
        <n v="1.53999996185303"/>
        <n v="0.829999983310699"/>
        <n v="0.100000001490116"/>
        <n v="0.259999990463257"/>
        <n v="0.109999999403954"/>
        <n v="0.00999999977648258"/>
        <n v="8.69999980926514"/>
        <n v="14.7200002670288"/>
        <n v="11.7299995422363"/>
        <n v="0.769999980926514"/>
        <n v="12.2200002670288"/>
        <n v="2.96000003814697"/>
        <n v="11.1000003814697"/>
        <n v="21.9200000762939"/>
        <n v="1.47000002861023"/>
        <m/>
      </sharedItems>
    </cacheField>
    <cacheField name="ModeratelyActiveDistance" numFmtId="0">
      <sharedItems containsString="0" containsBlank="1" containsNumber="1">
        <n v="0.46000000834465"/>
        <n v="0.730000019073486"/>
        <n v="0.159999996423721"/>
        <n v="0.790000021457672"/>
        <n v="1.0900000333786"/>
        <n v="0.509999990463257"/>
        <n v="0.490000009536743"/>
        <n v="0.829999983310699"/>
        <n v="0.449999988079071"/>
        <n v="1.27999997138977"/>
        <n v="0.699999988079071"/>
        <n v="0.759999990463257"/>
        <n v="0.479999989271164"/>
        <n v="0.899999976158142"/>
        <n v="0.589999973773956"/>
        <n v="0.569999992847443"/>
        <n v="0.0"/>
        <n v="0.270000010728836"/>
        <n v="0.25"/>
        <n v="0.779999971389771"/>
        <n v="6.40000009536743"/>
        <n v="0.769999980926514"/>
        <n v="0.170000001788139"/>
        <n v="1.51999998092651"/>
        <n v="2.11999988555908"/>
        <n v="2.41000008583069"/>
        <n v="3.72000002861023"/>
        <n v="0.370000004768372"/>
        <n v="0.629999995231628"/>
        <n v="0.889999985694885"/>
        <n v="1.28999996185303"/>
        <n v="0.980000019073486"/>
        <n v="1.75"/>
        <n v="2.21000003814697"/>
        <n v="0.560000002384186"/>
        <n v="0.469999998807907"/>
        <n v="1.04999995231628"/>
        <n v="0.219999998807907"/>
        <n v="0.419999986886978"/>
        <n v="0.119999997317791"/>
        <n v="3.11999988555908"/>
        <n v="2.05999994277954"/>
        <n v="2.0"/>
        <n v="0.810000002384186"/>
        <n v="1.23000001907349"/>
        <n v="2.75999999046326"/>
        <n v="0.349999994039536"/>
        <n v="1.82000005245209"/>
        <n v="2.9300000667572"/>
        <n v="0.800000011920929"/>
        <n v="0.689999997615814"/>
        <n v="0.409999996423721"/>
        <n v="0.340000003576279"/>
        <n v="0.0399999991059303"/>
        <n v="0.0900000035762787"/>
        <n v="0.150000005960464"/>
        <n v="0.180000007152557"/>
        <n v="0.839999973773956"/>
        <n v="2.00999999046326"/>
        <n v="1.35000002384186"/>
        <n v="3.59999990463257"/>
        <n v="4.44000005722046"/>
        <n v="1.74000000953674"/>
        <n v="0.0500000007450581"/>
        <n v="0.920000016689301"/>
        <n v="0.209999993443489"/>
        <n v="0.949999988079071"/>
        <n v="0.28999999165535"/>
        <n v="1.47000002861023"/>
        <n v="0.239999994635582"/>
        <n v="0.330000013113022"/>
        <n v="1.29999995231628"/>
        <n v="0.360000014305115"/>
        <n v="5.48999977111816"/>
        <n v="0.300000011920929"/>
        <n v="0.430000007152557"/>
        <n v="0.610000014305115"/>
        <n v="0.850000023841858"/>
        <n v="0.189999997615814"/>
        <n v="1.50999999046326"/>
        <n v="1.41999995708466"/>
        <n v="0.529999971389771"/>
        <n v="2.08999991416931"/>
        <n v="0.379999995231628"/>
        <n v="0.259999990463257"/>
        <n v="0.100000001490116"/>
        <n v="0.230000004172325"/>
        <n v="0.860000014305115"/>
        <n v="0.550000011920929"/>
        <n v="1.46000003814697"/>
        <n v="2.84999990463257"/>
        <n v="1.20000004768372"/>
        <n v="0.620000004768372"/>
        <n v="2.6800000667572"/>
        <n v="1.1599999666214"/>
        <n v="0.439999997615814"/>
        <n v="1.70000004768372"/>
        <n v="1.73000001907349"/>
        <n v="1.48000001907349"/>
        <n v="0.670000016689301"/>
        <n v="0.600000023841858"/>
        <n v="0.970000028610229"/>
        <n v="1.37000000476837"/>
        <n v="0.0599999986588955"/>
        <n v="1.42999994754791"/>
        <n v="0.639999985694885"/>
        <n v="3.6800000667572"/>
        <n v="1.26999998092651"/>
        <n v="2.03999996185303"/>
        <n v="2.44000005722046"/>
        <n v="3.33999991416931"/>
        <n v="4.48999977111816"/>
        <n v="1.91999995708466"/>
        <n v="2.4300000667572"/>
        <n v="3.25999999046326"/>
        <n v="1.25"/>
        <n v="2.88000011444092"/>
        <n v="2.73000001907349"/>
        <n v="1.19000005722046"/>
        <n v="0.740000009536743"/>
        <n v="1.88999998569489"/>
        <n v="1.12000000476837"/>
        <n v="1.39999997615814"/>
        <n v="0.129999995231628"/>
        <n v="1.62999999523163"/>
        <n v="0.310000002384186"/>
        <n v="0.910000026226044"/>
        <n v="0.930000007152557"/>
        <n v="1.54999995231628"/>
        <n v="1.05999994277954"/>
        <n v="0.819999992847443"/>
        <n v="0.75"/>
        <n v="0.879999995231628"/>
        <n v="0.709999978542328"/>
        <n v="0.140000000596046"/>
        <n v="0.389999985694885"/>
        <n v="1.21000003814697"/>
        <n v="0.649999976158142"/>
        <n v="0.540000021457672"/>
        <n v="0.0199999995529652"/>
        <m/>
      </sharedItems>
    </cacheField>
    <cacheField name="LightActiveDistance" numFmtId="0">
      <sharedItems containsString="0" containsBlank="1" containsNumber="1">
        <n v="4.07000017166138"/>
        <n v="3.91000008583069"/>
        <n v="3.71000003814697"/>
        <n v="4.94999980926514"/>
        <n v="4.6100001335144"/>
        <n v="4.28999996185303"/>
        <n v="5.03999996185303"/>
        <n v="3.64000010490417"/>
        <n v="3.74000000953674"/>
        <n v="4.17999982833862"/>
        <n v="5.69000005722046"/>
        <n v="6.03999996185303"/>
        <n v="5.15000009536743"/>
        <n v="4.44999980926514"/>
        <n v="4.92000007629395"/>
        <n v="2.48000001907349"/>
        <n v="4.65000009536743"/>
        <n v="0.129999995231628"/>
        <n v="1.12999999523163"/>
        <n v="0.529999971389771"/>
        <n v="1.27999997138977"/>
        <n v="1.24000000953674"/>
        <n v="1.0"/>
        <n v="1.0900000333786"/>
        <n v="2.15000009536743"/>
        <n v="5.96999979019165"/>
        <n v="1.00999999046326"/>
        <n v="1.87999999523163"/>
        <n v="12.0"/>
        <n v="0.870000004768372"/>
        <n v="0.649999976158142"/>
        <n v="0.720000028610229"/>
        <n v="4.09999990463257"/>
        <n v="2.28999996185303"/>
        <n v="1.80999994277954"/>
        <n v="6.5"/>
        <n v="4.30999994277954"/>
        <n v="2.59999990463257"/>
        <n v="5.73000001907349"/>
        <n v="3.78999996185303"/>
        <n v="1.55999994277954"/>
        <n v="5.3600001335144"/>
        <n v="2.45000004768372"/>
        <n v="5.5"/>
        <n v="2.80999994277954"/>
        <n v="5.03000020980835"/>
        <n v="0.970000028610229"/>
        <n v="3.54999995231628"/>
        <n v="0.0"/>
        <n v="4.19000005722046"/>
        <n v="3.50999999046326"/>
        <n v="3.28999996185303"/>
        <n v="4.32999992370605"/>
        <n v="3.58999991416931"/>
        <n v="2.61999988555908"/>
        <n v="3.92000007629395"/>
        <n v="2.21000003814697"/>
        <n v="1.62999999523163"/>
        <n v="1.54999995231628"/>
        <n v="0.360000014305115"/>
        <n v="1.37999999523163"/>
        <n v="1.46000003814697"/>
        <n v="0.839999973773956"/>
        <n v="0.0199999995529652"/>
        <n v="3.83999991416931"/>
        <n v="5.1399998664856"/>
        <n v="4.69000005722046"/>
        <n v="5.8899998664856"/>
        <n v="5.75"/>
        <n v="4.51000022888184"/>
        <n v="5.46999979019165"/>
        <n v="6.36999988555908"/>
        <n v="5.90000009536743"/>
        <n v="5.32999992370605"/>
        <n v="1.26999998092651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4.71999979019165"/>
        <n v="2.29999995231628"/>
        <n v="2.79999995231628"/>
        <n v="1.52999997138977"/>
        <n v="6.65999984741211"/>
        <n v="1.4099999666214"/>
        <n v="3.26999998092651"/>
        <n v="4.46999979019165"/>
        <n v="5.82000017166138"/>
        <n v="4.15999984741211"/>
        <n v="4.67999982833862"/>
        <n v="3.6800000667572"/>
        <n v="4.94000005722046"/>
        <n v="6.23000001907349"/>
        <n v="7.55999994277954"/>
        <n v="3.35999989509583"/>
        <n v="0.600000023841858"/>
        <n v="1.49000000953674"/>
        <n v="4.15000009536743"/>
        <n v="5.28999996185303"/>
        <n v="5.65000009536743"/>
        <n v="5.23999977111816"/>
        <n v="4.80999994277954"/>
        <n v="6.1399998664856"/>
        <n v="3.17000007629395"/>
        <n v="3.22000002861023"/>
        <n v="1.61000001430511"/>
        <n v="3.21000003814697"/>
        <n v="2.49000000953674"/>
        <n v="3.01999998092651"/>
        <n v="3.51999998092651"/>
        <n v="4.05000019073486"/>
        <n v="3.76999998092651"/>
        <n v="4.0"/>
        <n v="1.99000000953674"/>
        <n v="3.00999999046326"/>
        <n v="4.90999984741211"/>
        <n v="5.17000007629395"/>
        <n v="6.86999988555908"/>
        <n v="2.03999996185303"/>
        <n v="2.40000009536743"/>
        <n v="5.53000020980835"/>
        <n v="1.96000003814697"/>
        <n v="0.569999992847443"/>
        <n v="3.96000003814697"/>
        <n v="2.27999997138977"/>
        <n v="2.14000010490417"/>
        <n v="4.03999996185303"/>
        <n v="6.90000009536743"/>
        <n v="0.610000014305115"/>
        <n v="0.209999993443489"/>
        <n v="2.96000003814697"/>
        <n v="3.84999990463257"/>
        <n v="2.74000000953674"/>
        <n v="4.3600001335144"/>
        <n v="3.65000009536743"/>
        <n v="5.30999994277954"/>
        <n v="4.3899998664856"/>
        <n v="5.01000022888184"/>
        <n v="3.8199999332428"/>
        <n v="2.08999991416931"/>
        <n v="0.00999999977648258"/>
        <n v="3.44000005722046"/>
        <n v="0.259999990463257"/>
        <n v="0.689999997615814"/>
        <n v="0.0299999993294477"/>
        <n v="1.94000005722046"/>
        <n v="4.38000011444092"/>
        <n v="1.6599999666214"/>
        <n v="3.75999999046326"/>
        <n v="0.540000021457672"/>
        <n v="1.21000003814697"/>
        <n v="4.96999979019165"/>
        <n v="0.140000000596046"/>
        <n v="3.23000001907349"/>
        <n v="5.36999988555908"/>
        <n v="4.46000003814697"/>
        <n v="4.34000015258789"/>
        <n v="4.86999988555908"/>
        <n v="5.26999998092651"/>
        <n v="3.85999989509583"/>
        <n v="1.74000000953674"/>
        <n v="2.19000005722046"/>
        <n v="3.60999989509583"/>
        <n v="2.10999989509583"/>
        <n v="2.52999997138977"/>
        <n v="2.35999989509583"/>
        <n v="2.54999995231628"/>
        <n v="3.72000002861023"/>
        <n v="1.95000004768372"/>
        <n v="0.189999997615814"/>
        <n v="3.52999997138977"/>
        <n v="2.09999990463257"/>
        <n v="3.75"/>
        <n v="5.42000007629395"/>
        <n v="4.53000020980835"/>
        <n v="2.76999998092651"/>
        <n v="4.13000011444092"/>
        <n v="5.84000015258789"/>
        <n v="0.819999992847443"/>
        <n v="4.67000007629395"/>
        <n v="5.34999990463257"/>
        <n v="5.44000005722046"/>
        <n v="6.92000007629395"/>
        <n v="6.71999979019165"/>
        <n v="3.36999988555908"/>
        <n v="5.63000011444092"/>
        <n v="5.34000015258789"/>
        <n v="5.94999980926514"/>
        <n v="8.0600004196167"/>
        <n v="7.78999996185303"/>
        <n v="4.57999992370605"/>
        <n v="1.9099999666214"/>
        <n v="0.990000009536743"/>
        <n v="4.09000015258789"/>
        <n v="3.89000010490417"/>
        <n v="5.07999992370605"/>
        <n v="3.07999992370605"/>
        <n v="3.0"/>
        <n v="1.88999998569489"/>
        <n v="3.99000000953674"/>
        <n v="1.04999995231628"/>
        <n v="2.25"/>
        <n v="2.30999994277954"/>
        <n v="4.44000005722046"/>
        <n v="2.88000011444092"/>
        <n v="3.80999994277954"/>
        <n v="5.61999988555908"/>
        <n v="12.5100002288818"/>
        <n v="5.57000017166138"/>
        <n v="7.48000001907349"/>
        <n v="9.36999988555908"/>
        <n v="3.66000008583069"/>
        <n v="6.73000001907349"/>
        <n v="8.14999961853027"/>
        <n v="1.51999998092651"/>
        <n v="7.46000003814697"/>
        <n v="2.1800000667572"/>
        <n v="0.170000001788139"/>
        <n v="3.14000010490417"/>
        <n v="0.980000019073486"/>
        <n v="3.90000009536743"/>
        <n v="3.24000000953674"/>
        <n v="3.86999988555908"/>
        <n v="5.65999984741211"/>
        <n v="4.96000003814697"/>
        <n v="5.13000011444092"/>
        <n v="0.46000000834465"/>
        <n v="4.23999977111816"/>
        <n v="6.13000011444092"/>
        <n v="3.47000002861023"/>
        <n v="4.78999996185303"/>
        <n v="4.55999994277954"/>
        <n v="4.28000020980835"/>
        <n v="4.21000003814697"/>
        <n v="6.57999992370605"/>
        <n v="6.1100001335144"/>
        <n v="6.28999996185303"/>
        <n v="0.939999997615814"/>
        <n v="2.9300000667572"/>
        <n v="0.730000019073486"/>
        <n v="3.09999990463257"/>
        <n v="2.60999989509583"/>
        <n v="2.4300000667572"/>
        <n v="2.58999991416931"/>
        <n v="3.46000003814697"/>
        <n v="0.340000003576279"/>
        <n v="2.71000003814697"/>
        <n v="1.69000005722046"/>
        <n v="3.34999990463257"/>
        <n v="2.91000008583069"/>
        <n v="2.99000000953674"/>
        <n v="2.5"/>
        <n v="3.88000011444092"/>
        <n v="2.38000011444092"/>
        <n v="1.50999999046326"/>
        <n v="2.50999999046326"/>
        <n v="1.66999995708466"/>
        <n v="1.08000004291534"/>
        <n v="2.66000008583069"/>
        <n v="6.17000007629395"/>
        <n v="6.98999977111816"/>
        <n v="4.76999998092651"/>
        <n v="1.77999997138977"/>
        <n v="4.59000015258789"/>
        <n v="1.02999997138977"/>
        <n v="1.70000004768372"/>
        <n v="2.69000005722046"/>
        <n v="1.86000001430511"/>
        <n v="2.46000003814697"/>
        <n v="2.20000004768372"/>
        <n v="1.10000002384186"/>
        <n v="2.70000004768372"/>
        <n v="4.76000022888184"/>
        <n v="2.23000001907349"/>
        <n v="1.29999995231628"/>
        <n v="1.36000001430511"/>
        <n v="0.829999983310699"/>
        <n v="2.95000004768372"/>
        <n v="0.109999999403954"/>
        <n v="6.90999984741211"/>
        <n v="7.34000015258789"/>
        <n v="6.0"/>
        <n v="7.09000015258789"/>
        <n v="8.07999992370605"/>
        <n v="8.61999988555908"/>
        <n v="8.02000045776367"/>
        <m/>
      </sharedItems>
    </cacheField>
    <cacheField name="SedentaryActiveDistance" numFmtId="0">
      <sharedItems containsString="0" containsBlank="1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  <m/>
      </sharedItems>
    </cacheField>
    <cacheField name="VeryActiveMinutes" numFmtId="0">
      <sharedItems containsString="0" containsBlank="1" containsNumber="1" containsInteger="1">
        <n v="33.0"/>
        <n v="89.0"/>
        <n v="56.0"/>
        <n v="39.0"/>
        <n v="28.0"/>
        <n v="30.0"/>
        <n v="47.0"/>
        <n v="40.0"/>
        <n v="15.0"/>
        <n v="43.0"/>
        <n v="36.0"/>
        <n v="27.0"/>
        <n v="17.0"/>
        <n v="46.0"/>
        <n v="32.0"/>
        <n v="44.0"/>
        <n v="26.0"/>
        <n v="0.0"/>
        <n v="7.0"/>
        <n v="34.0"/>
        <n v="59.0"/>
        <n v="4.0"/>
        <n v="5.0"/>
        <n v="18.0"/>
        <n v="3.0"/>
        <n v="9.0"/>
        <n v="72.0"/>
        <n v="25.0"/>
        <n v="62.0"/>
        <n v="1.0"/>
        <n v="41.0"/>
        <n v="10.0"/>
        <n v="2.0"/>
        <n v="21.0"/>
        <n v="51.0"/>
        <n v="14.0"/>
        <n v="16.0"/>
        <n v="12.0"/>
        <n v="6.0"/>
        <n v="24.0"/>
        <n v="20.0"/>
        <n v="22.0"/>
        <n v="29.0"/>
        <n v="35.0"/>
        <n v="31.0"/>
        <n v="8.0"/>
        <n v="23.0"/>
        <n v="38.0"/>
        <n v="99.0"/>
        <n v="202.0"/>
        <n v="58.0"/>
        <n v="70.0"/>
        <n v="107.0"/>
        <n v="83.0"/>
        <n v="123.0"/>
        <n v="80.0"/>
        <n v="50.0"/>
        <n v="73.0"/>
        <n v="55.0"/>
        <n v="45.0"/>
        <n v="19.0"/>
        <n v="104.0"/>
        <n v="64.0"/>
        <n v="61.0"/>
        <n v="54.0"/>
        <n v="53.0"/>
        <n v="76.0"/>
        <n v="124.0"/>
        <n v="165.0"/>
        <n v="100.0"/>
        <n v="98.0"/>
        <n v="101.0"/>
        <n v="60.0"/>
        <n v="96.0"/>
        <n v="105.0"/>
        <n v="113.0"/>
        <n v="74.0"/>
        <n v="65.0"/>
        <n v="67.0"/>
        <n v="116.0"/>
        <n v="106.0"/>
        <n v="78.0"/>
        <n v="87.0"/>
        <n v="90.0"/>
        <n v="128.0"/>
        <m/>
      </sharedItems>
    </cacheField>
    <cacheField name="FairlyActiveMinutes" numFmtId="0">
      <sharedItems containsString="0" containsBlank="1" containsNumber="1" containsInteger="1">
        <n v="12.0"/>
        <n v="17.0"/>
        <n v="5.0"/>
        <n v="20.0"/>
        <n v="28.0"/>
        <n v="13.0"/>
        <n v="21.0"/>
        <n v="11.0"/>
        <n v="30.0"/>
        <n v="18.0"/>
        <n v="22.0"/>
        <n v="15.0"/>
        <n v="14.0"/>
        <n v="0.0"/>
        <n v="4.0"/>
        <n v="7.0"/>
        <n v="16.0"/>
        <n v="141.0"/>
        <n v="35.0"/>
        <n v="41.0"/>
        <n v="58.0"/>
        <n v="43.0"/>
        <n v="81.0"/>
        <n v="9.0"/>
        <n v="19.0"/>
        <n v="37.0"/>
        <n v="42.0"/>
        <n v="62.0"/>
        <n v="23.0"/>
        <n v="2.0"/>
        <n v="33.0"/>
        <n v="25.0"/>
        <n v="46.0"/>
        <n v="32.0"/>
        <n v="6.0"/>
        <n v="3.0"/>
        <n v="52.0"/>
        <n v="24.0"/>
        <n v="8.0"/>
        <n v="660.0"/>
        <n v="1.0"/>
        <n v="10.0"/>
        <n v="45.0"/>
        <n v="101.0"/>
        <n v="36.0"/>
        <n v="120.0"/>
        <n v="39.0"/>
        <n v="51.0"/>
        <n v="57.0"/>
        <n v="27.0"/>
        <n v="56.0"/>
        <n v="26.0"/>
        <n v="31.0"/>
        <n v="107.0"/>
        <n v="50.0"/>
        <n v="133.0"/>
        <n v="99.0"/>
        <n v="114.0"/>
        <n v="77.0"/>
        <n v="38.0"/>
        <n v="48.0"/>
        <n v="29.0"/>
        <m/>
      </sharedItems>
    </cacheField>
    <cacheField name="LightlyActiveMinutes" numFmtId="0">
      <sharedItems containsString="0" containsBlank="1" containsNumber="1" containsInteger="1">
        <n v="205.0"/>
        <n v="274.0"/>
        <n v="268.0"/>
        <n v="224.0"/>
        <n v="243.0"/>
        <n v="223.0"/>
        <n v="239.0"/>
        <n v="200.0"/>
        <n v="244.0"/>
        <n v="314.0"/>
        <n v="285.0"/>
        <n v="341.0"/>
        <n v="228.0"/>
        <n v="195.0"/>
        <n v="212.0"/>
        <n v="248.0"/>
        <n v="168.0"/>
        <n v="216.0"/>
        <n v="9.0"/>
        <n v="121.0"/>
        <n v="47.0"/>
        <n v="112.0"/>
        <n v="95.0"/>
        <n v="66.0"/>
        <n v="84.0"/>
        <n v="144.0"/>
        <n v="221.0"/>
        <n v="88.0"/>
        <n v="157.0"/>
        <n v="270.0"/>
        <n v="74.0"/>
        <n v="55.0"/>
        <n v="54.0"/>
        <n v="143.0"/>
        <n v="122.0"/>
        <n v="186.0"/>
        <n v="172.0"/>
        <n v="89.0"/>
        <n v="586.0"/>
        <n v="347.0"/>
        <n v="283.0"/>
        <n v="87.0"/>
        <n v="219.0"/>
        <n v="137.0"/>
        <n v="230.0"/>
        <n v="161.0"/>
        <n v="192.0"/>
        <n v="35.0"/>
        <n v="251.0"/>
        <n v="263.0"/>
        <n v="136.0"/>
        <n v="0.0"/>
        <n v="1.0"/>
        <n v="290.0"/>
        <n v="184.0"/>
        <n v="305.0"/>
        <n v="267.0"/>
        <n v="146.0"/>
        <n v="128.0"/>
        <n v="108.0"/>
        <n v="73.0"/>
        <n v="43.0"/>
        <n v="34.0"/>
        <n v="134.0"/>
        <n v="139.0"/>
        <n v="3.0"/>
        <n v="213.0"/>
        <n v="237.0"/>
        <n v="279.0"/>
        <n v="233.0"/>
        <n v="298.0"/>
        <n v="258.0"/>
        <n v="252.0"/>
        <n v="296.0"/>
        <n v="302.0"/>
        <n v="339.0"/>
        <n v="272.0"/>
        <n v="67.0"/>
        <n v="166.0"/>
        <n v="69.0"/>
        <n v="115.0"/>
        <n v="185.0"/>
        <n v="170.0"/>
        <n v="173.0"/>
        <n v="164.0"/>
        <n v="64.0"/>
        <n v="175.0"/>
        <n v="320.0"/>
        <n v="93.0"/>
        <n v="153.0"/>
        <n v="208.0"/>
        <n v="103.0"/>
        <n v="390.0"/>
        <n v="255.0"/>
        <n v="250.0"/>
        <n v="327.0"/>
        <n v="324.0"/>
        <n v="231.0"/>
        <n v="269.0"/>
        <n v="196.0"/>
        <n v="315.0"/>
        <n v="316.0"/>
        <n v="401.0"/>
        <n v="303.0"/>
        <n v="41.0"/>
        <n v="197.0"/>
        <n v="355.0"/>
        <n v="374.0"/>
        <n v="382.0"/>
        <n v="363.0"/>
        <n v="380.0"/>
        <n v="288.0"/>
        <n v="357.0"/>
        <n v="720.0"/>
        <n v="630.0"/>
        <n v="311.0"/>
        <n v="299.0"/>
        <n v="325.0"/>
        <n v="332.0"/>
        <n v="282.0"/>
        <n v="346.0"/>
        <n v="152.0"/>
        <n v="297.0"/>
        <n v="291.0"/>
        <n v="331.0"/>
        <n v="174.0"/>
        <n v="254.0"/>
        <n v="99.0"/>
        <n v="129.0"/>
        <n v="17.0"/>
        <n v="145.0"/>
        <n v="215.0"/>
        <n v="309.0"/>
        <n v="75.0"/>
        <n v="187.0"/>
        <n v="261.0"/>
        <n v="210.0"/>
        <n v="162.0"/>
        <n v="265.0"/>
        <n v="193.0"/>
        <n v="165.0"/>
        <n v="241.0"/>
        <n v="176.0"/>
        <n v="114.0"/>
        <n v="135.0"/>
        <n v="15.0"/>
        <n v="2.0"/>
        <n v="46.0"/>
        <n v="169.0"/>
        <n v="190.0"/>
        <n v="86.0"/>
        <n v="160.0"/>
        <n v="25.0"/>
        <n v="60.0"/>
        <n v="11.0"/>
        <n v="199.0"/>
        <n v="247.0"/>
        <n v="257.0"/>
        <n v="313.0"/>
        <n v="308.0"/>
        <n v="304.0"/>
        <n v="276.0"/>
        <n v="155.0"/>
        <n v="163.0"/>
        <n v="238.0"/>
        <n v="273.0"/>
        <n v="171.0"/>
        <n v="110.0"/>
        <n v="235.0"/>
        <n v="266.0"/>
        <n v="20.0"/>
        <n v="367.0"/>
        <n v="259.0"/>
        <n v="76.0"/>
        <n v="227.0"/>
        <n v="256.0"/>
        <n v="323.0"/>
        <n v="381.0"/>
        <n v="207.0"/>
        <n v="181.0"/>
        <n v="198.0"/>
        <n v="218.0"/>
        <n v="229.0"/>
        <n v="150.0"/>
        <n v="234.0"/>
        <n v="50.0"/>
        <n v="142.0"/>
        <n v="240.0"/>
        <n v="204.0"/>
        <n v="156.0"/>
        <n v="138.0"/>
        <n v="286.0"/>
        <n v="475.0"/>
        <n v="384.0"/>
        <n v="491.0"/>
        <n v="422.0"/>
        <n v="506.0"/>
        <n v="280.0"/>
        <n v="113.0"/>
        <n v="301.0"/>
        <n v="8.0"/>
        <n v="79.0"/>
        <n v="300.0"/>
        <n v="287.0"/>
        <n v="284.0"/>
        <n v="306.0"/>
        <n v="48.0"/>
        <n v="271.0"/>
        <n v="292.0"/>
        <n v="358.0"/>
        <n v="397.0"/>
        <n v="375.0"/>
        <n v="154.0"/>
        <n v="27.0"/>
        <n v="132.0"/>
        <n v="124.0"/>
        <n v="127.0"/>
        <n v="140.0"/>
        <n v="126.0"/>
        <n v="14.0"/>
        <n v="97.0"/>
        <n v="191.0"/>
        <n v="120.0"/>
        <n v="16.0"/>
        <n v="94.0"/>
        <n v="107.0"/>
        <n v="148.0"/>
        <n v="220.0"/>
        <n v="189.0"/>
        <n v="167.0"/>
        <n v="117.0"/>
        <n v="182.0"/>
        <n v="49.0"/>
        <n v="131.0"/>
        <n v="147.0"/>
        <n v="328.0"/>
        <n v="111.0"/>
        <n v="77.0"/>
        <n v="71.0"/>
        <n v="63.0"/>
        <n v="179.0"/>
        <n v="12.0"/>
        <n v="6.0"/>
        <n v="260.0"/>
        <n v="246.0"/>
        <n v="318.0"/>
        <n v="359.0"/>
        <n v="289.0"/>
        <n v="211.0"/>
        <n v="225.0"/>
        <n v="58.0"/>
        <m/>
      </sharedItems>
    </cacheField>
    <cacheField name="SedentaryMinutes" numFmtId="0">
      <sharedItems containsString="0" containsBlank="1" containsNumber="1" containsInteger="1">
        <n v="804.0"/>
        <n v="588.0"/>
        <n v="605.0"/>
        <n v="1080.0"/>
        <n v="763.0"/>
        <n v="1174.0"/>
        <n v="820.0"/>
        <n v="866.0"/>
        <n v="636.0"/>
        <n v="655.0"/>
        <n v="757.0"/>
        <n v="736.0"/>
        <n v="1173.0"/>
        <n v="1208.0"/>
        <n v="1160.0"/>
        <n v="738.0"/>
        <n v="737.0"/>
        <n v="855.0"/>
        <n v="32.0"/>
        <n v="1319.0"/>
        <n v="1393.0"/>
        <n v="1328.0"/>
        <n v="1345.0"/>
        <n v="1374.0"/>
        <n v="1356.0"/>
        <n v="1285.0"/>
        <n v="1219.0"/>
        <n v="1352.0"/>
        <n v="1283.0"/>
        <n v="1170.0"/>
        <n v="1366.0"/>
        <n v="1385.0"/>
        <n v="1386.0"/>
        <n v="1297.0"/>
        <n v="1318.0"/>
        <n v="1240.0"/>
        <n v="1268.0"/>
        <n v="604.0"/>
        <n v="838.0"/>
        <n v="918.0"/>
        <n v="1082.0"/>
        <n v="1181.0"/>
        <n v="1244.0"/>
        <n v="1149.0"/>
        <n v="1229.0"/>
        <n v="207.0"/>
        <n v="1171.0"/>
        <n v="1177.0"/>
        <n v="1114.0"/>
        <n v="669.0"/>
        <n v="1440.0"/>
        <n v="1439.0"/>
        <n v="1150.0"/>
        <n v="620.0"/>
        <n v="810.0"/>
        <n v="1189.0"/>
        <n v="426.0"/>
        <n v="854.0"/>
        <n v="858.0"/>
        <n v="1183.0"/>
        <n v="829.0"/>
        <n v="912.0"/>
        <n v="938.0"/>
        <n v="1397.0"/>
        <n v="1406.0"/>
        <n v="1250.0"/>
        <n v="805.0"/>
        <n v="842.0"/>
        <n v="161.0"/>
        <n v="1139.0"/>
        <n v="1203.0"/>
        <n v="1126.0"/>
        <n v="1069.0"/>
        <n v="1093.0"/>
        <n v="1054.0"/>
        <n v="1092.0"/>
        <n v="1078.0"/>
        <n v="1077.0"/>
        <n v="1111.0"/>
        <n v="551.0"/>
        <n v="729.0"/>
        <n v="795.0"/>
        <n v="720.0"/>
        <n v="644.0"/>
        <n v="621.0"/>
        <n v="673.0"/>
        <n v="719.0"/>
        <n v="700.0"/>
        <n v="654.0"/>
        <n v="694.0"/>
        <n v="223.0"/>
        <n v="1265.0"/>
        <n v="1120.0"/>
        <n v="1347.0"/>
        <n v="1287.0"/>
        <n v="1220.0"/>
        <n v="1337.0"/>
        <n v="1038.0"/>
        <n v="617.0"/>
        <n v="615.0"/>
        <n v="613.0"/>
        <n v="583.0"/>
        <n v="491.0"/>
        <n v="638.0"/>
        <n v="696.0"/>
        <n v="759.0"/>
        <n v="1002.0"/>
        <n v="711.0"/>
        <n v="970.0"/>
        <n v="463.0"/>
        <n v="788.0"/>
        <n v="425.0"/>
        <n v="1399.0"/>
        <n v="1243.0"/>
        <n v="1107.0"/>
        <n v="1055.0"/>
        <n v="1066.0"/>
        <n v="1058.0"/>
        <n v="1060.0"/>
        <n v="1098.0"/>
        <n v="1180.0"/>
        <n v="882.0"/>
        <n v="780.0"/>
        <n v="99.0"/>
        <n v="1129.0"/>
        <n v="1074.0"/>
        <n v="1141.0"/>
        <n v="1192.0"/>
        <n v="1094.0"/>
        <n v="1085.0"/>
        <n v="1158.0"/>
        <n v="1063.0"/>
        <n v="735.0"/>
        <n v="748.0"/>
        <n v="710.0"/>
        <n v="614.0"/>
        <n v="815.0"/>
        <n v="685.0"/>
        <n v="697.0"/>
        <n v="894.0"/>
        <n v="187.0"/>
        <n v="771.0"/>
        <n v="1005.0"/>
        <n v="874.0"/>
        <n v="599.0"/>
        <n v="986.0"/>
        <n v="1289.0"/>
        <n v="1253.0"/>
        <n v="860.0"/>
        <n v="752.0"/>
        <n v="776.0"/>
        <n v="741.0"/>
        <n v="1249.0"/>
        <n v="920.0"/>
        <n v="1191.0"/>
        <n v="1125.0"/>
        <n v="1185.0"/>
        <n v="1178.0"/>
        <n v="888.0"/>
        <n v="321.0"/>
        <n v="1438.0"/>
        <n v="1394.0"/>
        <n v="1271.0"/>
        <n v="1236.0"/>
        <n v="1354.0"/>
        <n v="1280.0"/>
        <n v="1295.0"/>
        <n v="1293.0"/>
        <n v="1380.0"/>
        <n v="1324.0"/>
        <n v="1247.0"/>
        <n v="400.0"/>
        <n v="683.0"/>
        <n v="702.0"/>
        <n v="578.0"/>
        <n v="569.0"/>
        <n v="668.0"/>
        <n v="1132.0"/>
        <n v="994.0"/>
        <n v="807.0"/>
        <n v="1277.0"/>
        <n v="786.0"/>
        <n v="898.0"/>
        <n v="672.0"/>
        <n v="1269.0"/>
        <n v="1330.0"/>
        <n v="745.0"/>
        <n v="939.0"/>
        <n v="941.0"/>
        <n v="758.0"/>
        <n v="755.0"/>
        <n v="789.0"/>
        <n v="253.0"/>
        <n v="1182.0"/>
        <n v="886.0"/>
        <n v="1073.0"/>
        <n v="1217.0"/>
        <n v="1105.0"/>
        <n v="1199.0"/>
        <n v="1164.0"/>
        <n v="555.0"/>
        <n v="760.0"/>
        <n v="742.0"/>
        <n v="708.0"/>
        <n v="475.0"/>
        <n v="471.0"/>
        <n v="746.0"/>
        <n v="770.0"/>
        <n v="808.0"/>
        <n v="407.0"/>
        <n v="528.0"/>
        <n v="809.0"/>
        <n v="782.0"/>
        <n v="356.0"/>
        <n v="507.0"/>
        <n v="754.0"/>
        <n v="772.0"/>
        <n v="731.0"/>
        <n v="767.0"/>
        <n v="552.0"/>
        <n v="688.0"/>
        <n v="61.0"/>
        <n v="721.0"/>
        <n v="663.0"/>
        <n v="689.0"/>
        <n v="756.0"/>
        <n v="695.0"/>
        <n v="813.0"/>
        <n v="601.0"/>
        <n v="209.0"/>
        <n v="568.0"/>
        <n v="466.0"/>
        <n v="1148.0"/>
        <n v="990.0"/>
        <n v="388.0"/>
        <n v="1018.0"/>
        <n v="413.0"/>
        <n v="1195.0"/>
        <n v="1407.0"/>
        <n v="494.0"/>
        <n v="1133.0"/>
        <n v="1432.0"/>
        <n v="198.0"/>
        <n v="909.0"/>
        <n v="1414.0"/>
        <n v="1011.0"/>
        <n v="550.0"/>
        <n v="739.0"/>
        <n v="1308.0"/>
        <n v="641.0"/>
        <n v="595.0"/>
        <n v="602.0"/>
        <n v="732.0"/>
        <n v="589.0"/>
        <n v="570.0"/>
        <n v="692.0"/>
        <n v="593.0"/>
        <n v="665.0"/>
        <n v="609.0"/>
        <n v="679.0"/>
        <n v="678.0"/>
        <n v="146.0"/>
        <n v="1075.0"/>
        <n v="1057.0"/>
        <n v="1030.0"/>
        <n v="1015.0"/>
        <n v="1020.0"/>
        <n v="405.0"/>
        <n v="777.0"/>
        <n v="872.0"/>
        <n v="1404.0"/>
        <n v="1159.0"/>
        <n v="814.0"/>
        <n v="797.0"/>
        <n v="717.0"/>
        <n v="1368.0"/>
        <n v="75.0"/>
        <n v="1142.0"/>
        <n v="1123.0"/>
        <n v="1135.0"/>
        <n v="1143.0"/>
        <n v="1221.0"/>
        <n v="1255.0"/>
        <n v="1346.0"/>
        <n v="1303.0"/>
        <n v="1230.0"/>
        <n v="1256.0"/>
        <n v="1314.0"/>
        <n v="657.0"/>
        <n v="600.0"/>
        <n v="658.0"/>
        <n v="686.0"/>
        <n v="728.0"/>
        <n v="670.0"/>
        <n v="868.0"/>
        <n v="843.0"/>
        <n v="727.0"/>
        <n v="811.0"/>
        <n v="243.0"/>
        <n v="1274.0"/>
        <n v="1309.0"/>
        <n v="1302.0"/>
        <n v="1052.0"/>
        <n v="1079.0"/>
        <n v="675.0"/>
        <n v="904.0"/>
        <n v="1261.0"/>
        <n v="1428.0"/>
        <n v="598.0"/>
        <n v="1040.0"/>
        <n v="1138.0"/>
        <n v="1019.0"/>
        <n v="982.0"/>
        <n v="1190.0"/>
        <n v="531.0"/>
        <m/>
      </sharedItems>
    </cacheField>
    <cacheField name="Calories" numFmtId="0">
      <sharedItems containsString="0" containsBlank="1" containsNumber="1" containsInteger="1">
        <n v="1819.0"/>
        <n v="2154.0"/>
        <n v="1944.0"/>
        <n v="1932.0"/>
        <n v="1886.0"/>
        <n v="1820.0"/>
        <n v="1889.0"/>
        <n v="1868.0"/>
        <n v="1843.0"/>
        <n v="1850.0"/>
        <n v="2030.0"/>
        <n v="2083.0"/>
        <n v="1861.0"/>
        <n v="1755.0"/>
        <n v="1895.0"/>
        <n v="1883.0"/>
        <n v="1811.0"/>
        <n v="50.0"/>
        <n v="1373.0"/>
        <n v="1264.0"/>
        <n v="1350.0"/>
        <n v="1342.0"/>
        <n v="1300.0"/>
        <n v="1313.0"/>
        <n v="1498.0"/>
        <n v="1541.0"/>
        <n v="1327.0"/>
        <n v="1452.0"/>
        <n v="1574.0"/>
        <n v="1308.0"/>
        <n v="1276.0"/>
        <n v="1278.0"/>
        <n v="1409.0"/>
        <n v="1370.0"/>
        <n v="1555.0"/>
        <n v="1469.0"/>
        <n v="706.0"/>
        <n v="3323.0"/>
        <n v="4029.0"/>
        <n v="3436.0"/>
        <n v="2444.0"/>
        <n v="3098.0"/>
        <n v="2925.0"/>
        <n v="3202.0"/>
        <n v="2928.0"/>
        <n v="3290.0"/>
        <n v="489.0"/>
        <n v="1969.0"/>
        <n v="1636.0"/>
        <n v="1347.0"/>
        <n v="1349.0"/>
        <n v="1965.0"/>
        <n v="1824.0"/>
        <n v="1807.0"/>
        <n v="1971.0"/>
        <n v="1888.0"/>
        <n v="399.0"/>
        <n v="2590.0"/>
        <n v="2783.0"/>
        <n v="2449.0"/>
        <n v="2380.0"/>
        <n v="2344.0"/>
        <n v="2202.0"/>
        <n v="2130.0"/>
        <n v="2088.0"/>
        <n v="2443.0"/>
        <n v="2442.0"/>
        <n v="2255.0"/>
        <n v="942.0"/>
        <n v="2645.0"/>
        <n v="2040.0"/>
        <n v="2395.0"/>
        <n v="2581.0"/>
        <n v="2735.0"/>
        <n v="2733.0"/>
        <n v="3021.0"/>
        <n v="2577.0"/>
        <n v="2811.0"/>
        <n v="2458.0"/>
        <n v="2568.0"/>
        <n v="1140.0"/>
        <n v="1407.0"/>
        <n v="1237.0"/>
        <n v="1330.0"/>
        <n v="1583.0"/>
        <n v="1538.0"/>
        <n v="1421.0"/>
        <n v="1392.0"/>
        <n v="1425.0"/>
        <n v="1413.0"/>
        <n v="1515.0"/>
        <n v="1405.0"/>
        <n v="600.0"/>
        <n v="1324.0"/>
        <n v="1708.0"/>
        <n v="1950.0"/>
        <n v="1508.0"/>
        <n v="1625.0"/>
        <n v="1772.0"/>
        <n v="1530.0"/>
        <n v="2206.0"/>
        <n v="790.0"/>
        <n v="2041.0"/>
        <n v="2187.0"/>
        <n v="1929.0"/>
        <n v="1935.0"/>
        <n v="2438.0"/>
        <n v="2035.0"/>
        <n v="2099.0"/>
        <n v="2096.0"/>
        <n v="2058.0"/>
        <n v="2338.0"/>
        <n v="2104.0"/>
        <n v="2488.0"/>
        <n v="2164.0"/>
        <n v="2009.0"/>
        <n v="1335.0"/>
        <n v="1559.0"/>
        <n v="1845.0"/>
        <n v="2046.0"/>
        <n v="1953.0"/>
        <n v="1910.0"/>
        <n v="2257.0"/>
        <n v="1724.0"/>
        <n v="1741.0"/>
        <n v="0.0"/>
        <n v="1920.0"/>
        <n v="4562.0"/>
        <n v="2881.0"/>
        <n v="1144.0"/>
        <n v="1852.0"/>
        <n v="2069.0"/>
        <n v="1816.0"/>
        <n v="1878.0"/>
        <n v="1787.0"/>
        <n v="2010.0"/>
        <n v="2038.0"/>
        <n v="1815.0"/>
        <n v="2062.0"/>
        <n v="1288.0"/>
        <n v="1490.0"/>
        <n v="1630.0"/>
        <n v="1648.0"/>
        <n v="1649.0"/>
        <n v="1783.0"/>
        <n v="1431.0"/>
        <n v="1524.0"/>
        <n v="1697.0"/>
        <n v="1232.0"/>
        <n v="1223.0"/>
        <n v="182.0"/>
        <n v="2990.0"/>
        <n v="2480.0"/>
        <n v="2570.0"/>
        <n v="3016.0"/>
        <n v="3830.0"/>
        <n v="3706.0"/>
        <n v="2024.0"/>
        <n v="2980.0"/>
        <n v="3728.0"/>
        <n v="3348.0"/>
        <n v="3162.0"/>
        <n v="3140.0"/>
        <n v="1980.0"/>
        <n v="3681.0"/>
        <n v="3444.0"/>
        <n v="3510.0"/>
        <n v="4010.0"/>
        <n v="2976.0"/>
        <n v="3418.0"/>
        <n v="3439.0"/>
        <n v="3338.0"/>
        <n v="2892.0"/>
        <n v="3313.0"/>
        <n v="3118.0"/>
        <n v="2966.0"/>
        <n v="3253.0"/>
        <n v="3032.0"/>
        <n v="4034.0"/>
        <n v="3264.0"/>
        <n v="2817.0"/>
        <n v="2507.0"/>
        <n v="446.0"/>
        <n v="1777.0"/>
        <n v="2453.0"/>
        <n v="1776.0"/>
        <n v="1870.0"/>
        <n v="1782.0"/>
        <n v="1978.0"/>
        <n v="2296.0"/>
        <n v="2484.0"/>
        <n v="2005.0"/>
        <n v="1778.0"/>
        <n v="2293.0"/>
        <n v="2259.0"/>
        <n v="1780.0"/>
        <n v="2360.0"/>
        <n v="1952.0"/>
        <n v="2101.0"/>
        <n v="2393.0"/>
        <n v="538.0"/>
        <n v="1958.0"/>
        <n v="2141.0"/>
        <n v="2129.0"/>
        <n v="2216.0"/>
        <n v="2178.0"/>
        <n v="2308.0"/>
        <n v="2201.0"/>
        <n v="2341.0"/>
        <n v="2236.0"/>
        <n v="1296.0"/>
        <n v="2032.0"/>
        <n v="2227.0"/>
        <n v="2133.0"/>
        <n v="2317.0"/>
        <n v="2217.0"/>
        <n v="2374.0"/>
        <n v="2335.0"/>
        <n v="2303.0"/>
        <n v="2210.0"/>
        <n v="2424.0"/>
        <n v="2297.0"/>
        <n v="745.0"/>
        <n v="1902.0"/>
        <n v="1680.0"/>
        <n v="1901.0"/>
        <n v="2078.0"/>
        <n v="1876.0"/>
        <n v="1853.0"/>
        <n v="2235.0"/>
        <n v="1882.0"/>
        <n v="1906.0"/>
        <n v="2149.0"/>
        <n v="722.0"/>
        <n v="2886.0"/>
        <n v="2915.0"/>
        <n v="2895.0"/>
        <n v="2923.0"/>
        <n v="3357.0"/>
        <n v="2931.0"/>
        <n v="2848.0"/>
        <n v="2943.0"/>
        <n v="2822.0"/>
        <n v="2981.0"/>
        <n v="3597.0"/>
        <n v="3224.0"/>
        <n v="2677.0"/>
        <n v="2142.0"/>
        <n v="1615.0"/>
        <n v="1481.0"/>
        <n v="1892.0"/>
        <n v="2086.0"/>
        <n v="2044.0"/>
        <n v="2249.0"/>
        <n v="2019.0"/>
        <n v="1692.0"/>
        <n v="1712.0"/>
        <n v="2065.0"/>
        <n v="633.0"/>
        <n v="3625.0"/>
        <n v="4430.0"/>
        <n v="3427.0"/>
        <n v="3492.0"/>
        <n v="3765.0"/>
        <n v="2775.0"/>
        <n v="2486.0"/>
        <n v="3817.0"/>
        <n v="3378.0"/>
        <n v="1511.0"/>
        <n v="2884.0"/>
        <n v="1496.0"/>
        <n v="2262.0"/>
        <n v="2445.0"/>
        <n v="2694.0"/>
        <n v="1903.0"/>
        <n v="2482.0"/>
        <n v="2617.0"/>
        <n v="2778.0"/>
        <n v="3119.0"/>
        <n v="2664.0"/>
        <n v="2060.0"/>
        <n v="735.0"/>
        <n v="2224.0"/>
        <n v="1849.0"/>
        <n v="1822.0"/>
        <n v="251.0"/>
        <n v="3065.0"/>
        <n v="2207.0"/>
        <n v="1977.0"/>
        <n v="1841.0"/>
        <n v="4286.0"/>
        <n v="3920.0"/>
        <n v="3856.0"/>
        <n v="2584.0"/>
        <n v="787.0"/>
        <n v="2244.0"/>
        <n v="2188.0"/>
        <n v="2014.0"/>
        <n v="2115.0"/>
        <n v="2055.0"/>
        <n v="2437.0"/>
        <n v="2158.0"/>
        <n v="2170.0"/>
        <n v="2231.0"/>
        <n v="2100.0"/>
        <n v="917.0"/>
        <n v="2573.0"/>
        <n v="2575.0"/>
        <n v="3086.0"/>
        <n v="2676.0"/>
        <n v="2840.0"/>
        <n v="2871.0"/>
        <n v="2613.0"/>
        <n v="2700.0"/>
        <n v="1023.0"/>
        <n v="2496.0"/>
        <n v="1641.0"/>
        <n v="1794.0"/>
        <n v="2421.0"/>
        <n v="2439.0"/>
        <n v="2233.0"/>
        <n v="2862.0"/>
        <n v="2752.0"/>
        <n v="2519.0"/>
        <n v="1799.0"/>
        <n v="2543.0"/>
        <n v="625.0"/>
        <n v="3377.0"/>
        <n v="3697.0"/>
        <n v="3209.0"/>
        <n v="3167.0"/>
        <n v="3122.0"/>
        <n v="3176.0"/>
        <n v="2790.0"/>
        <n v="2715.0"/>
        <n v="2684.0"/>
        <n v="3097.0"/>
        <n v="791.0"/>
        <n v="1429.0"/>
        <n v="1607.0"/>
        <n v="2162.0"/>
        <n v="1832.0"/>
        <n v="1657.0"/>
        <n v="1377.0"/>
        <n v="3669.0"/>
        <n v="2702.0"/>
        <n v="3304.0"/>
        <n v="4234.0"/>
        <n v="4128.0"/>
        <n v="3798.0"/>
        <n v="3839.0"/>
        <n v="3713.0"/>
        <n v="2606.0"/>
        <n v="2624.0"/>
        <n v="3775.0"/>
        <n v="2517.0"/>
        <n v="2400.0"/>
        <n v="2462.0"/>
        <n v="2786.0"/>
        <n v="2354.0"/>
        <n v="1814.0"/>
        <n v="2260.0"/>
        <n v="3004.0"/>
        <n v="2667.0"/>
        <n v="2229.0"/>
        <n v="2114.0"/>
        <n v="1961.0"/>
        <n v="1890.0"/>
        <n v="2253.0"/>
        <n v="1725.0"/>
        <n v="728.0"/>
        <n v="3527.0"/>
        <n v="4220.0"/>
        <n v="3864.0"/>
        <n v="3662.0"/>
        <n v="2834.0"/>
        <n v="4039.0"/>
        <n v="2947.0"/>
        <n v="4196.0"/>
        <n v="3841.0"/>
        <n v="4526.0"/>
        <n v="2820.0"/>
        <n v="938.0"/>
        <m/>
      </sharedItems>
    </cacheField>
    <cacheField name="DayNumber" numFmtId="0">
      <sharedItems containsString="0" containsBlank="1" containsNumber="1" containsInteger="1">
        <n v="5.0"/>
        <n v="6.0"/>
        <n v="7.0"/>
        <n v="1.0"/>
        <n v="2.0"/>
        <n v="3.0"/>
        <n v="4.0"/>
        <m/>
      </sharedItems>
    </cacheField>
    <cacheField name="DayofWeek" numFmtId="0">
      <sharedItems containsBlank="1">
        <s v="Friday"/>
        <s v="Saturday"/>
        <s v="Sunday"/>
        <s v="Monday"/>
        <s v="Tuesday"/>
        <s v="Wednesday"/>
        <s v="Thursday"/>
        <m/>
      </sharedItems>
    </cacheField>
    <cacheField name="TotalActiveMinutes" numFmtId="0">
      <sharedItems containsString="0" containsBlank="1" containsNumber="1">
        <n v="14.2200002670288"/>
        <n v="23.1000003814698"/>
        <n v="17.05999946594238"/>
        <n v="17.86000061035156"/>
        <n v="15.69999980926514"/>
        <n v="14.31999969482422"/>
        <n v="15.7200002670288"/>
        <n v="15.73999977111816"/>
        <n v="14.5"/>
        <n v="12.73999977111816"/>
        <n v="19.60000038146972"/>
        <n v="19.45999908447266"/>
        <n v="15.3400001525879"/>
        <n v="12.88000011444092"/>
        <n v="15.88000011444092"/>
        <n v="16.20000076293946"/>
        <n v="13.96000003814698"/>
        <n v="14.52000045776368"/>
        <n v="0.280000001192092"/>
        <n v="2.35999989509582"/>
        <n v="1.059999942779542"/>
        <n v="2.57999992370606"/>
        <n v="2.48000001907348"/>
        <n v="2.01999998092652"/>
        <n v="2.1800000667572"/>
        <n v="5.8600001335144"/>
        <n v="11.97999954223632"/>
        <n v="3.77999997138978"/>
        <n v="24.0"/>
        <n v="1.740000009536744"/>
        <n v="1.299999952316284"/>
        <n v="1.440000057220458"/>
        <n v="8.23999977111816"/>
        <n v="4.6399998664856"/>
        <n v="5.07999992370606"/>
        <n v="13.0"/>
        <n v="8.61999988555908"/>
        <n v="6.82000017166138"/>
        <n v="29.420000076294"/>
        <n v="18.81999969482422"/>
        <n v="4.09999990463256"/>
        <n v="14.42000007629394"/>
        <n v="11.69999980926514"/>
        <n v="16.23999977111816"/>
        <n v="11.39999961853028"/>
        <n v="20.1200008392334"/>
        <n v="1.940000057220458"/>
        <n v="9.0600004196167"/>
        <n v="7.09999990463256"/>
        <n v="3.75999999046326"/>
        <n v="0.0"/>
        <n v="8.38000011444092"/>
        <n v="7.01999998092652"/>
        <n v="6.57999992370606"/>
        <n v="8.68000030517578"/>
        <n v="7.17999982833862"/>
        <n v="5.98000001907348"/>
        <n v="7.8400001525879"/>
        <n v="4.42000007629394"/>
        <n v="3.25999999046326"/>
        <n v="3.09999990463256"/>
        <n v="0.72000002861023"/>
        <n v="3.5"/>
        <n v="2.92000007629394"/>
        <n v="1.679999947547912"/>
        <n v="0.0399999991059304"/>
        <n v="19.20000076293946"/>
        <n v="7.67999982833862"/>
        <n v="15.64000034332276"/>
        <n v="22.0"/>
        <n v="15.18000030517578"/>
        <n v="21.8600006103516"/>
        <n v="27.6599998474122"/>
        <n v="18.52000045776368"/>
        <n v="25.1800003051758"/>
        <n v="14.03999996185302"/>
        <n v="14.18000030517578"/>
        <n v="9.4399995803833"/>
        <n v="3.24000000953674"/>
        <n v="1.519999980926514"/>
        <n v="2.85999989509582"/>
        <n v="8.2799997329712"/>
        <n v="7.0"/>
        <n v="3.94000005722046"/>
        <n v="3.44000005722046"/>
        <n v="4.6599998474121"/>
        <n v="3.83999991416932"/>
        <n v="6.38000011444092"/>
        <n v="4.05999994277954"/>
        <n v="1.259999990463256"/>
        <n v="6.6399998664856"/>
        <n v="4.59999990463256"/>
        <n v="6.55999994277954"/>
        <n v="3.05999994277954"/>
        <n v="2.8199999332428"/>
        <n v="13.57999992370606"/>
        <n v="14.19999980926514"/>
        <n v="8.9399995803833"/>
        <n v="11.02000045776368"/>
        <n v="20.4400005340576"/>
        <n v="9.89999961853028"/>
        <n v="13.60000038146972"/>
        <n v="13.64000034332276"/>
        <n v="14.68000030517578"/>
        <n v="13.69999980926514"/>
        <n v="13.5"/>
        <n v="21.2600002288818"/>
        <n v="13.6599998474121"/>
        <n v="13.2200002670288"/>
        <n v="1.200000047683716"/>
        <n v="2.98000001907348"/>
        <n v="10.26000022888184"/>
        <n v="13.0600004196167"/>
        <n v="11.3400001525879"/>
        <n v="9.88000011444092"/>
        <n v="12.61999988555908"/>
        <n v="9.61999988555908"/>
        <n v="19.1200008392334"/>
        <n v="10.07999992370606"/>
        <n v="4.82803201675415"/>
        <n v="6.4386880397796595"/>
        <n v="3.2193440198898298"/>
        <n v="7.90000009536744"/>
        <n v="10.46000003814698"/>
        <n v="6.42000007629394"/>
        <n v="8.03999996185302"/>
        <n v="6.07999992370606"/>
        <n v="8.7799997329712"/>
        <n v="10.19999980926514"/>
        <n v="7.57999992370606"/>
        <n v="12.5"/>
        <n v="6.3600001335144"/>
        <n v="6.01999998092652"/>
        <n v="15.39999961853028"/>
        <n v="15.97999954223632"/>
        <n v="16.45999908447266"/>
        <n v="20.6399993896484"/>
        <n v="11.26000022888184"/>
        <n v="13.68000030517578"/>
        <n v="19.52000045776368"/>
        <n v="4.78000020980834"/>
        <n v="4.28000020980834"/>
        <n v="1.139999985694886"/>
        <n v="7.94000005722046"/>
        <n v="4.61999988555908"/>
        <n v="4.3400001525879"/>
        <n v="8.46000003814698"/>
        <n v="17.97999954223632"/>
        <n v="12.81999969482422"/>
        <n v="0.519999980926514"/>
        <n v="8.18000030517578"/>
        <n v="14.81999969482422"/>
        <n v="12.57999992370606"/>
        <n v="9.5600004196167"/>
        <n v="9.03999996185302"/>
        <n v="7.98000001907348"/>
        <n v="6.26000022888184"/>
        <n v="10.23999977111816"/>
        <n v="3.01999998092652"/>
        <n v="5.96000003814698"/>
        <n v="7.73999977111816"/>
        <n v="10.6599998474121"/>
        <n v="6.19999980926514"/>
        <n v="8.76000022888184"/>
        <n v="9.19999980926514"/>
        <n v="9.85999965667724"/>
        <n v="10.7200002670288"/>
        <n v="15.02000045776368"/>
        <n v="11.10000038146972"/>
        <n v="7.3600001335144"/>
        <n v="4.30000019073486"/>
        <n v="0.01999999955296516"/>
        <n v="12.46000003814698"/>
        <n v="3.11999988555908"/>
        <n v="1.379999995231628"/>
        <n v="0.0599999986588954"/>
        <n v="3.88000011444092"/>
        <n v="10.68000030517578"/>
        <n v="3.35999989509582"/>
        <n v="7.51999998092652"/>
        <n v="8.625843171030287"/>
        <n v="12.31999969482422"/>
        <n v="2.42000007629394"/>
        <n v="5.01999998092652"/>
        <n v="9.96000003814698"/>
        <n v="12.14000034332276"/>
        <n v="10.92000007629394"/>
        <n v="12.53999996185302"/>
        <n v="11.31999969482422"/>
        <n v="11.03999996185302"/>
        <n v="13.52000045776368"/>
        <n v="14.69999980926514"/>
        <n v="12.30000019073486"/>
        <n v="8.81999969482422"/>
        <n v="3.48000001907348"/>
        <n v="6.44000005722046"/>
        <n v="4.38000011444092"/>
        <n v="7.26000022888184"/>
        <n v="4.21999979019166"/>
        <n v="5.67999982833862"/>
        <n v="9.2200002670288"/>
        <n v="7.44000005722046"/>
        <n v="5.61999988555908"/>
        <n v="8.89999961853028"/>
        <n v="8.26000022888184"/>
        <n v="0.379999995231628"/>
        <n v="7.05999994277954"/>
        <n v="4.19999980926514"/>
        <n v="8.1599998474121"/>
        <n v="10.8400001525879"/>
        <n v="8.97999954223632"/>
        <n v="7.5"/>
        <n v="10.57999992370606"/>
        <n v="5.53999996185302"/>
        <n v="7.28000020980834"/>
        <n v="11.68000030517578"/>
        <n v="1.659999966621398"/>
        <n v="10.5600004196167"/>
        <n v="11.30000019073486"/>
        <n v="11.61999988555908"/>
        <n v="16.76000022888184"/>
        <n v="19.6599998474121"/>
        <n v="12.7200002670288"/>
        <n v="10.81999969482422"/>
        <n v="12.35999965667724"/>
        <n v="13.2799997329712"/>
        <n v="22.7199993133544"/>
        <n v="18.05999946594238"/>
        <n v="10.53999996185302"/>
        <n v="1.980000019073486"/>
        <n v="11.76000022888184"/>
        <n v="14.76000022888184"/>
        <n v="16.0"/>
        <n v="20.1599998474122"/>
        <n v="12.97999954223632"/>
        <n v="6.0"/>
        <n v="7.30000019073486"/>
        <n v="15.53999996185302"/>
        <n v="4.48000001907348"/>
        <n v="22.2199993133544"/>
        <n v="11.11999988555908"/>
        <n v="13.39999961853028"/>
        <n v="16.60000038146972"/>
        <n v="6.71999979019166"/>
        <n v="6.51999998092652"/>
        <n v="15.68000030517578"/>
        <n v="11.23999977111816"/>
        <n v="29.6800003051758"/>
        <n v="12.7799997329712"/>
        <n v="14.96000003814698"/>
        <n v="18.73999977111816"/>
        <n v="7.32000017166138"/>
        <n v="16.29999923706054"/>
        <n v="10.02000045776368"/>
        <n v="14.4399995803833"/>
        <n v="4.05777287483215"/>
        <n v="15.017057180404672"/>
        <n v="0.259999990463256"/>
        <n v="10.35999965667724"/>
        <n v="2.25999999046326"/>
        <n v="16.86000061035156"/>
        <n v="20.0599994659424"/>
        <n v="5.92000007629394"/>
        <n v="20.4799995422364"/>
        <n v="18.63999938964844"/>
        <n v="16.2800006866455"/>
        <n v="25.6000003814698"/>
        <n v="21.08279466629029"/>
        <n v="20.44630146026611"/>
        <n v="25.85686445236204"/>
        <n v="16.52000045776368"/>
        <n v="13.42000007629394"/>
        <n v="19.956455230712894"/>
        <n v="7.80000019073486"/>
        <n v="21.77128314971924"/>
        <n v="22.4799995422364"/>
        <n v="26.799849510192928"/>
        <n v="22.05638027191161"/>
        <n v="24.155719757080078"/>
        <n v="24.88599014282231"/>
        <n v="22.94231939315796"/>
        <n v="13.8400001525879"/>
        <n v="15.599782943725579"/>
        <n v="2.61999988555908"/>
        <n v="9.97999954223632"/>
        <n v="9.46000003814698"/>
        <n v="21.6399993896484"/>
        <n v="13.03999996185302"/>
        <n v="9.3400001525879"/>
        <n v="0.699999988079072"/>
        <n v="31.2399997711182"/>
        <n v="40.2799987792968"/>
        <n v="26.420000076294"/>
        <n v="26.8199996948242"/>
        <n v="24.8400001525878"/>
        <n v="26.3999996185302"/>
        <n v="19.07999992370606"/>
        <n v="18.2800006866455"/>
        <n v="15.46000003814698"/>
        <n v="25.4400005340576"/>
        <n v="0.419999986886978"/>
        <n v="2.55999994277954"/>
        <n v="6.8400001525879"/>
        <n v="18.29999923706054"/>
        <n v="7.07999992370606"/>
        <n v="2.16000008583068"/>
        <n v="5.32000017166138"/>
        <n v="24.1921474933625"/>
        <n v="22.63308024406433"/>
        <n v="16.57214665412902"/>
        <n v="17.67308115959167"/>
        <n v="15.33214688301086"/>
        <n v="3.55999994277954"/>
        <n v="4.17999982833862"/>
        <n v="16.11214756965638"/>
        <n v="7.3930809497833305"/>
        <n v="3.40000009536744"/>
        <n v="5.46000003814698"/>
        <n v="3.72000002861022"/>
        <n v="4.92000007629394"/>
        <n v="3.27999997138978"/>
        <n v="4.40000009536744"/>
        <n v="2.20000004768372"/>
        <n v="5.88000011444092"/>
        <n v="9.26000022888184"/>
        <n v="4.90000009536744"/>
        <n v="2.72000002861022"/>
        <n v="1.879999995231628"/>
        <n v="5.90000009536744"/>
        <n v="0.219999998807908"/>
        <n v="31.6399993896484"/>
        <n v="46.7799987792968"/>
        <n v="16.3799991607666"/>
        <n v="36.8199996948242"/>
        <n v="41.8199996948242"/>
        <n v="16.8400001525879"/>
        <n v="40.7799987792968"/>
        <n v="16.13999938964844"/>
        <n v="55.060001373291"/>
        <n v="16.1200008392334"/>
        <m/>
      </sharedItems>
    </cacheField>
    <cacheField name="ActivityRate" numFmtId="10">
      <sharedItems containsString="0" containsBlank="1" containsNumber="1">
        <n v="0.04269449715370019"/>
        <n v="0.10950413223140495"/>
        <n v="0.06531049250535331"/>
        <n v="0.043286867204695524"/>
        <n v="0.05273069679849341"/>
        <n v="0.029861111111111113"/>
        <n v="0.04076086956521739"/>
        <n v="0.059964726631393295"/>
        <n v="0.05477980665950591"/>
        <n v="0.04437869822485207"/>
        <n v="0.05530371713508613"/>
        <n v="0.04774535809018567"/>
        <n v="0.027083333333333334"/>
        <n v="0.025694444444444443"/>
        <n v="0.04722222222222222"/>
        <n v="0.04549854791868345"/>
        <n v="0.059251559251559255"/>
        <n v="0.036003600360036005"/>
        <n v="0.0"/>
        <n v="0.007638888888888889"/>
        <n v="0.009722222222222222"/>
        <n v="0.011111111111111112"/>
        <n v="0.12152777777777778"/>
        <n v="0.052083333333333336"/>
        <n v="0.005555555555555556"/>
        <n v="0.027777777777777776"/>
        <n v="0.04097222222222222"/>
        <n v="0.04236111111111111"/>
        <n v="0.034722222222222224"/>
        <n v="0.06875"/>
        <n v="0.0125"/>
        <n v="0.010406811731315043"/>
        <n v="0.006460875807609476"/>
        <n v="0.06111111111111111"/>
        <n v="0.03263888888888889"/>
        <n v="0.05625"/>
        <n v="0.050694444444444445"/>
        <n v="0.06180555555555556"/>
        <n v="0.09305555555555556"/>
        <n v="0.03611111111111111"/>
        <n v="0.041666666666666664"/>
        <n v="0.016666666666666666"/>
        <n v="0.03958333333333333"/>
        <n v="0.06927710843373494"/>
        <n v="0.008333333333333333"/>
        <n v="0.06198347107438017"/>
        <n v="0.06047516198704104"/>
        <n v="0.03145853193517636"/>
        <n v="0.06857727737973388"/>
        <n v="0.05027322404371585"/>
        <n v="0.02721774193548387"/>
        <n v="0.059113300492610835"/>
        <n v="0.0344574780058651"/>
        <n v="0.007729468599033816"/>
        <n v="0.03382663847780127"/>
        <n v="0.019206145966709345"/>
        <n v="0.05475504322766571"/>
        <n v="0.020833333333333332"/>
        <n v="0.015277777777777777"/>
        <n v="0.0375"/>
        <n v="0.00625"/>
        <n v="0.4583333333333333"/>
        <n v="0.017361111111111112"/>
        <n v="0.01875"/>
        <n v="0.014583333333333334"/>
        <n v="0.01597222222222222"/>
        <n v="0.021527777777777778"/>
        <n v="0.028477546549835708"/>
        <n v="0.0052173913043478265"/>
        <n v="0.04717853839037928"/>
        <n v="0.055347091932457786"/>
        <n v="0.06079664570230608"/>
        <n v="0.06804733727810651"/>
        <n v="0.0782608695652174"/>
        <n v="0.10520833333333333"/>
        <n v="0.06947162426614481"/>
        <n v="0.02327935222672065"/>
        <n v="0.001951219512195122"/>
        <n v="0.009099181073703366"/>
        <n v="0.04118268215417107"/>
        <n v="0.05277777777777778"/>
        <n v="0.043515358361774746"/>
        <n v="0.03232323232323232"/>
        <n v="0.019313304721030045"/>
        <n v="0.029106029106029108"/>
        <n v="0.018055555555555554"/>
        <n v="0.022222222222222223"/>
        <n v="0.008784773060029283"/>
        <n v="0.019444444444444445"/>
        <n v="0.08472222222222223"/>
        <n v="0.012318029115341545"/>
        <n v="0.016632016632016633"/>
        <n v="0.01507537688442211"/>
        <n v="0.03556485355648536"/>
        <n v="0.021181716833890748"/>
        <n v="0.057176196032672114"/>
        <n v="0.047058823529411764"/>
        <n v="0.017598343685300208"/>
        <n v="0.06303418803418803"/>
        <n v="0.01818181818181818"/>
        <n v="0.007052186177715092"/>
        <n v="0.007415254237288136"/>
        <n v="0.030303030303030304"/>
        <n v="0.021331058020477817"/>
        <n v="0.02766798418972332"/>
        <n v="0.006878761822871883"/>
        <n v="0.02638888888888889"/>
        <n v="0.00891089108910891"/>
        <n v="0.016243654822335026"/>
        <n v="0.00932642487046632"/>
        <n v="0.036613272311212815"/>
        <n v="0.0702576112412178"/>
        <n v="0.033165829145728645"/>
        <n v="0.031"/>
        <n v="0.008298755186721992"/>
        <n v="0.014018691588785047"/>
        <n v="0.07511737089201878"/>
        <n v="0.02937853107344633"/>
        <n v="0.058333333333333334"/>
        <n v="0.03546099290780142"/>
        <n v="0.0625"/>
        <n v="0.05893719806763285"/>
        <n v="0.08458646616541353"/>
        <n v="0.060665362035225046"/>
        <n v="0.03967168262653899"/>
        <n v="0.060142711518858305"/>
        <n v="0.13953488372093023"/>
        <n v="0.1309164149043303"/>
        <n v="0.22580645161290322"/>
        <n v="0.08292682926829269"/>
        <n v="0.09063136456211812"/>
        <n v="0.12183235867446393"/>
        <n v="0.1323529411764706"/>
        <n v="0.04449152542372881"/>
        <n v="0.010214504596527068"/>
        <n v="0.2002164502164502"/>
        <n v="0.11523046092184369"/>
        <n v="0.1755485893416928"/>
        <n v="0.033880903490759756"/>
        <n v="0.009027777777777777"/>
        <n v="0.09166666666666666"/>
        <n v="0.022916666666666665"/>
        <n v="0.038910505836575876"/>
        <n v="0.03194444444444444"/>
        <n v="0.004166666666666667"/>
        <n v="0.05255781359495445"/>
        <n v="0.13125"/>
        <n v="0.1264131551901336"/>
        <n v="0.1392515230635335"/>
        <n v="0.09424603174603174"/>
        <n v="0.09001097694840834"/>
        <n v="0.05947136563876652"/>
        <n v="0.0721951219512195"/>
        <n v="0.07454128440366972"/>
        <n v="0.09393939393939393"/>
        <n v="0.05319148936170213"/>
        <n v="0.07356076759061833"/>
        <n v="0.060396039603960394"/>
        <n v="0.06171648987463838"/>
        <n v="0.05279187817258883"/>
        <n v="0.025717111770524232"/>
        <n v="0.05705996131528046"/>
        <n v="0.21138211382113822"/>
        <n v="0.01823486506199854"/>
        <n v="0.09875640087783467"/>
        <n v="0.06319444444444444"/>
        <n v="0.040875912408759124"/>
        <n v="0.05"/>
        <n v="0.06841339155749636"/>
        <n v="0.03125"/>
        <n v="0.11637080867850098"/>
        <n v="0.06806806806806807"/>
        <n v="0.03819444444444445"/>
        <n v="0.042994810971089696"/>
        <n v="0.03398558187435633"/>
        <n v="0.11422413793103449"/>
        <n v="0.09468599033816426"/>
        <n v="0.033578174186778595"/>
        <n v="0.07272727272727272"/>
        <n v="0.09930555555555555"/>
        <n v="0.13958333333333334"/>
        <n v="0.07222222222222222"/>
        <n v="0.07361111111111111"/>
        <n v="0.07916666666666666"/>
        <n v="0.07430555555555556"/>
        <n v="0.04583333333333333"/>
        <n v="0.04513888888888889"/>
        <n v="0.03333333333333333"/>
        <n v="0.025"/>
        <n v="0.09325396825396826"/>
        <n v="0.043132803632236094"/>
        <n v="0.12112112112112113"/>
        <n v="0.12761714855433698"/>
        <n v="0.05986261040235525"/>
        <n v="0.09947089947089947"/>
        <n v="0.07341092211280215"/>
        <n v="0.08394833948339483"/>
        <n v="0.21505376344086022"/>
        <n v="0.013888888888888888"/>
        <n v="0.01282051282051282"/>
        <n v="0.00866738894907909"/>
        <n v="0.010650887573964497"/>
        <n v="0.010721247563352826"/>
        <n v="0.010070493454179255"/>
        <n v="0.04861111111111111"/>
        <n v="0.09722222222222222"/>
        <n v="0.08541666666666667"/>
        <n v="0.06527777777777778"/>
        <n v="0.07152777777777777"/>
        <n v="0.12083333333333333"/>
        <m/>
      </sharedItems>
    </cacheField>
    <cacheField name="ActiviyLevelCategory" numFmtId="0">
      <sharedItems containsBlank="1">
        <s v="High"/>
        <s v="Moderate"/>
        <s v="Low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458" sheet="dailyActivity_merged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ctivityDate" numFmtId="164">
      <sharedItems containsSemiMixedTypes="0" containsDate="1" containsString="0"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</sharedItems>
    </cacheField>
    <cacheField name="TotalSteps" numFmtId="0">
      <sharedItems containsSemiMixedTypes="0" containsString="0" containsNumber="1" containsInteger="1">
        <n v="11004.0"/>
        <n v="17609.0"/>
        <n v="12736.0"/>
        <n v="13231.0"/>
        <n v="12041.0"/>
        <n v="10970.0"/>
        <n v="12256.0"/>
        <n v="12262.0"/>
        <n v="11248.0"/>
        <n v="10016.0"/>
        <n v="14557.0"/>
        <n v="14844.0"/>
        <n v="11974.0"/>
        <n v="10198.0"/>
        <n v="12521.0"/>
        <n v="12432.0"/>
        <n v="10057.0"/>
        <n v="10990.0"/>
        <n v="224.0"/>
        <n v="1810.0"/>
        <n v="815.0"/>
        <n v="1985.0"/>
        <n v="1905.0"/>
        <n v="1552.0"/>
        <n v="1675.0"/>
        <n v="4506.0"/>
        <n v="9218.0"/>
        <n v="1556.0"/>
        <n v="2910.0"/>
        <n v="18464.0"/>
        <n v="1335.0"/>
        <n v="1004.0"/>
        <n v="1111.0"/>
        <n v="6344.0"/>
        <n v="3572.0"/>
        <n v="3910.0"/>
        <n v="10000.0"/>
        <n v="6627.0"/>
        <n v="4636.0"/>
        <n v="20237.0"/>
        <n v="12912.0"/>
        <n v="2819.0"/>
        <n v="9921.0"/>
        <n v="8046.0"/>
        <n v="11166.0"/>
        <n v="7842.0"/>
        <n v="13840.0"/>
        <n v="1329.0"/>
        <n v="6847.0"/>
        <n v="5367.0"/>
        <n v="2841.0"/>
        <n v="0.0"/>
        <n v="7.0"/>
        <n v="5316.0"/>
        <n v="4979.0"/>
        <n v="6556.0"/>
        <n v="5430.0"/>
        <n v="4317.0"/>
        <n v="5662.0"/>
        <n v="3198.0"/>
        <n v="2352.0"/>
        <n v="2234.0"/>
        <n v="1259.0"/>
        <n v="768.0"/>
        <n v="519.0"/>
        <n v="2523.0"/>
        <n v="2105.0"/>
        <n v="1209.0"/>
        <n v="24.0"/>
        <n v="13603.0"/>
        <n v="5477.0"/>
        <n v="11144.0"/>
        <n v="15313.0"/>
        <n v="10805.0"/>
        <n v="15392.0"/>
        <n v="18247.0"/>
        <n v="13023.0"/>
        <n v="16267.0"/>
        <n v="10005.0"/>
        <n v="10106.0"/>
        <n v="6717.0"/>
        <n v="2605.0"/>
        <n v="1229.0"/>
        <n v="2308.0"/>
        <n v="6679.0"/>
        <n v="5645.0"/>
        <n v="3180.0"/>
        <n v="2767.0"/>
        <n v="3762.0"/>
        <n v="3098.0"/>
        <n v="5142.0"/>
        <n v="3279.0"/>
        <n v="1019.0"/>
        <n v="4931.0"/>
        <n v="6999.0"/>
        <n v="1846.0"/>
        <n v="3417.0"/>
        <n v="4863.0"/>
        <n v="2277.0"/>
        <n v="11230.0"/>
        <n v="2098.0"/>
        <n v="10272.0"/>
        <n v="10533.0"/>
        <n v="6760.0"/>
        <n v="8328.0"/>
        <n v="15459.0"/>
        <n v="7485.0"/>
        <n v="10254.0"/>
        <n v="10114.0"/>
        <n v="11107.0"/>
        <n v="10320.0"/>
        <n v="10209.0"/>
        <n v="16081.0"/>
        <n v="10078.0"/>
        <n v="10001.0"/>
        <n v="890.0"/>
        <n v="2214.0"/>
        <n v="7640.0"/>
        <n v="9713.0"/>
        <n v="8432.0"/>
        <n v="7350.0"/>
        <n v="9353.0"/>
        <n v="7157.0"/>
        <n v="14103.0"/>
        <n v="5290.0"/>
        <n v="7497.0"/>
        <n v="4126.0"/>
        <n v="2063.0"/>
        <n v="5785.0"/>
        <n v="7625.0"/>
        <n v="4706.0"/>
        <n v="5861.0"/>
        <n v="4460.0"/>
        <n v="6406.0"/>
        <n v="7392.0"/>
        <n v="5551.0"/>
        <n v="8827.0"/>
        <n v="4662.0"/>
        <n v="4499.0"/>
        <n v="7618.0"/>
        <n v="11508.0"/>
        <n v="11943.0"/>
        <n v="12303.0"/>
        <n v="15425.0"/>
        <n v="8422.0"/>
        <n v="10226.0"/>
        <n v="14583.0"/>
        <n v="3573.0"/>
        <n v="3108.0"/>
        <n v="759.0"/>
        <n v="5543.0"/>
        <n v="3226.0"/>
        <n v="3023.0"/>
        <n v="5906.0"/>
        <n v="12483.0"/>
        <n v="8940.0"/>
        <n v="368.0"/>
        <n v="5702.0"/>
        <n v="10330.0"/>
        <n v="8778.0"/>
        <n v="6662.0"/>
        <n v="6309.0"/>
        <n v="1951.0"/>
        <n v="5563.0"/>
        <n v="4370.0"/>
        <n v="7144.0"/>
        <n v="2106.0"/>
        <n v="4152.0"/>
        <n v="5400.0"/>
        <n v="7428.0"/>
        <n v="5351.0"/>
        <n v="4299.0"/>
        <n v="6107.0"/>
        <n v="6429.0"/>
        <n v="6880.0"/>
        <n v="7476.0"/>
        <n v="6581.0"/>
        <n v="10480.0"/>
        <n v="7734.0"/>
        <n v="5129.0"/>
        <n v="2993.0"/>
        <n v="8.0"/>
        <n v="8433.0"/>
        <n v="2139.0"/>
        <n v="949.0"/>
        <n v="44.0"/>
        <n v="2660.0"/>
        <n v="5561.0"/>
        <n v="7239.0"/>
        <n v="2275.0"/>
        <n v="5137.0"/>
        <n v="5419.0"/>
        <n v="18.0"/>
        <n v="4.0"/>
        <n v="8426.0"/>
        <n v="1650.0"/>
        <n v="3434.0"/>
        <n v="6801.0"/>
        <n v="187.0"/>
        <n v="5643.0"/>
        <n v="9043.0"/>
        <n v="8144.0"/>
        <n v="9343.0"/>
        <n v="8405.0"/>
        <n v="8223.0"/>
        <n v="10067.0"/>
        <n v="8359.0"/>
        <n v="10946.0"/>
        <n v="9130.0"/>
        <n v="6544.0"/>
        <n v="2303.0"/>
        <n v="2600.0"/>
        <n v="4804.0"/>
        <n v="3271.0"/>
        <n v="5406.0"/>
        <n v="3146.0"/>
        <n v="2422.0"/>
        <n v="4239.0"/>
        <n v="6911.0"/>
        <n v="6667.0"/>
        <n v="4195.0"/>
        <n v="6625.0"/>
        <n v="5986.0"/>
        <n v="278.0"/>
        <n v="5336.0"/>
        <n v="3183.0"/>
        <n v="6176.0"/>
        <n v="8205.0"/>
        <n v="6799.0"/>
        <n v="5668.0"/>
        <n v="7998.0"/>
        <n v="5512.0"/>
        <n v="6263.0"/>
        <n v="8828.0"/>
        <n v="1260.0"/>
        <n v="6506.0"/>
        <n v="7583.0"/>
        <n v="6963.0"/>
        <n v="7165.0"/>
        <n v="10328.0"/>
        <n v="12116.0"/>
        <n v="7810.0"/>
        <n v="6670.0"/>
        <n v="7605.0"/>
        <n v="6585.0"/>
        <n v="8184.0"/>
        <n v="14002.0"/>
        <n v="11135.0"/>
        <n v="6499.0"/>
        <n v="12409.0"/>
        <n v="2937.0"/>
        <n v="1515.0"/>
        <n v="8921.0"/>
        <n v="11306.0"/>
        <n v="12252.0"/>
        <n v="15444.0"/>
        <n v="9938.0"/>
        <n v="4599.0"/>
        <n v="5594.0"/>
        <n v="11906.0"/>
        <n v="3436.0"/>
        <n v="10461.0"/>
        <n v="14873.0"/>
        <n v="9917.0"/>
        <n v="7401.0"/>
        <n v="8964.0"/>
        <n v="11080.0"/>
        <n v="4363.0"/>
        <n v="10494.0"/>
        <n v="9776.0"/>
        <n v="2862.0"/>
        <n v="7444.0"/>
        <n v="19658.0"/>
        <n v="8468.0"/>
        <n v="9910.0"/>
        <n v="4853.0"/>
        <n v="8955.0"/>
        <n v="10789.0"/>
        <n v="6633.0"/>
        <n v="9548.0"/>
        <n v="2101.0"/>
        <n v="9766.0"/>
        <n v="165.0"/>
        <n v="7225.0"/>
        <n v="1988.0"/>
        <n v="1577.0"/>
        <n v="9348.0"/>
        <n v="11761.0"/>
        <n v="13987.0"/>
        <n v="4131.0"/>
        <n v="14.0"/>
        <n v="15491.0"/>
        <n v="14097.0"/>
        <n v="10467.0"/>
        <n v="12437.0"/>
        <n v="12307.0"/>
        <n v="18952.0"/>
        <n v="12010.0"/>
        <n v="12480.0"/>
        <n v="13417.0"/>
        <n v="14400.0"/>
        <n v="12495.0"/>
        <n v="10148.0"/>
        <n v="12362.0"/>
        <n v="5893.0"/>
        <n v="11680.0"/>
        <n v="10976.0"/>
        <n v="16806.0"/>
        <n v="15266.0"/>
        <n v="12084.0"/>
        <n v="13513.0"/>
        <n v="14100.0"/>
        <n v="12627.0"/>
        <n v="10345.0"/>
        <n v="10146.0"/>
        <n v="12168.0"/>
        <n v="7413.0"/>
        <n v="11463.0"/>
        <n v="87.0"/>
        <n v="1949.0"/>
        <n v="6101.0"/>
        <n v="7478.0"/>
        <n v="7352.0"/>
        <n v="14604.0"/>
        <n v="9634.0"/>
        <n v="7338.0"/>
        <n v="569.0"/>
        <n v="6242.0"/>
        <n v="430.0"/>
        <n v="20188.0"/>
        <n v="25701.0"/>
        <n v="17395.0"/>
        <n v="17167.0"/>
        <n v="16435.0"/>
        <n v="17078.0"/>
        <n v="11693.0"/>
        <n v="11159.0"/>
        <n v="10118.0"/>
        <n v="16064.0"/>
        <n v="290.0"/>
        <n v="1931.0"/>
        <n v="5181.0"/>
        <n v="12026.0"/>
        <n v="5360.0"/>
        <n v="2545.0"/>
        <n v="1636.0"/>
        <n v="14179.0"/>
        <n v="3358.0"/>
        <n v="9152.0"/>
        <n v="13935.0"/>
        <n v="12846.0"/>
        <n v="9124.0"/>
        <n v="9725.0"/>
        <n v="8350.0"/>
        <n v="2240.0"/>
        <n v="2631.0"/>
        <n v="8837.0"/>
        <n v="3246.0"/>
        <n v="2174.0"/>
        <n v="3494.0"/>
        <n v="2380.0"/>
        <n v="3159.0"/>
        <n v="6835.0"/>
        <n v="2816.0"/>
        <n v="1408.0"/>
        <n v="4592.0"/>
        <n v="8452.0"/>
        <n v="7238.0"/>
        <n v="3821.0"/>
        <n v="2332.0"/>
        <n v="2121.0"/>
        <n v="1291.0"/>
        <n v="1467.0"/>
        <n v="1022.0"/>
        <n v="4605.0"/>
        <n v="178.0"/>
        <n v="20.0"/>
        <n v="18700.0"/>
        <n v="27572.0"/>
        <n v="15260.0"/>
        <n v="20779.0"/>
        <n v="10695.0"/>
        <n v="24136.0"/>
        <n v="10910.0"/>
        <n v="23014.0"/>
        <n v="16470.0"/>
        <n v="28497.0"/>
        <n v="10622.0"/>
        <n v="2350.0"/>
      </sharedItems>
    </cacheField>
    <cacheField name="TotalDistance" numFmtId="0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22000002861023"/>
        <n v="1.61000001430511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0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85999965667725"/>
        <n v="9.64999961853027"/>
        <n v="10.8800001144409"/>
        <n v="8.26000022888184"/>
        <n v="6.71000003814697"/>
        <n v="9.09000015258789"/>
        <n v="3.90000009536743"/>
        <n v="9.0600004196167"/>
        <n v="11.2399997711182"/>
        <n v="11.3999996185303"/>
        <n v="9.14000034332275"/>
        <n v="10.25"/>
        <n v="10.5799999237061"/>
        <n v="6.92000007629395"/>
        <n v="5.76999998092651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</sharedItems>
    </cacheField>
    <cacheField name="TrackerDistance" numFmtId="0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57000017166138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3.22000002861023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779999971389771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25"/>
        <n v="8.86999988555908"/>
        <n v="9.52000045776367"/>
        <n v="8.26000022888184"/>
        <n v="6.71000003814697"/>
        <n v="8.17000007629395"/>
        <n v="3.90000009536743"/>
        <n v="7.80999994277954"/>
        <n v="11.2399997711182"/>
        <n v="10.210000038147"/>
        <n v="8.07999992370605"/>
        <n v="9.06999969482422"/>
        <n v="9.43000030517578"/>
        <n v="8.44999980926514"/>
        <n v="6.92000007629395"/>
        <n v="4.96000003814697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9.14000034332275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</sharedItems>
    </cacheField>
    <cacheField name="LoggedActivitiesDistance" numFmtId="0">
      <sharedItems containsSemiMixedTypes="0" containsString="0" containsNumber="1">
        <n v="0.0"/>
        <n v="4.82803201675415"/>
        <n v="3.21868801116943"/>
        <n v="1.60934400558472"/>
        <n v="0.055842999368906"/>
        <n v="2.02777290344238"/>
        <n v="6.72705698013306"/>
        <n v="3.97279500961304"/>
        <n v="1.92630195617676"/>
        <n v="5.45686388015747"/>
        <n v="2.69645500183105"/>
        <n v="4.901282787323"/>
        <n v="5.18984985351563"/>
        <n v="4.83638000488281"/>
        <n v="4.83572006225586"/>
        <n v="4.87598991394043"/>
        <n v="4.84231996536255"/>
        <n v="4.8697829246521"/>
        <n v="2.0921471118927"/>
        <n v="2.25308108329773"/>
      </sharedItems>
    </cacheField>
    <cacheField name="VeryActiveDistance" numFmtId="0">
      <sharedItems containsSemiMixedTypes="0" containsString="0" containsNumber="1">
        <n v="2.5699999332428"/>
        <n v="6.92000007629395"/>
        <n v="4.65999984741211"/>
        <n v="3.19000005722046"/>
        <n v="2.16000008583069"/>
        <n v="2.35999989509583"/>
        <n v="2.28999996185303"/>
        <n v="3.3199999332428"/>
        <n v="3.0"/>
        <n v="0.910000026226044"/>
        <n v="3.39000010490417"/>
        <n v="2.94000005722046"/>
        <n v="2.03999996185303"/>
        <n v="1.20000004768372"/>
        <n v="3.30999994277954"/>
        <n v="2.58999991416931"/>
        <n v="4.0"/>
        <n v="0.0"/>
        <n v="0.509999990463257"/>
        <n v="0.469999998807907"/>
        <n v="4.82999992370605"/>
        <n v="0.310000002384186"/>
        <n v="0.340000003576279"/>
        <n v="1.28999996185303"/>
        <n v="0.209999993443489"/>
        <n v="0.479999989271164"/>
        <n v="1.30999994277954"/>
        <n v="0.610000014305115"/>
        <n v="5.46000003814697"/>
        <n v="1.78999996185303"/>
        <n v="5.01999998092651"/>
        <n v="0.720000028610229"/>
        <n v="3.4300000667572"/>
        <n v="7.1100001335144"/>
        <n v="3.23000001907349"/>
        <n v="5.75"/>
        <n v="0.0799999982118607"/>
        <n v="1.21000003814697"/>
        <n v="0.0599999986588955"/>
        <n v="0.889999985694885"/>
        <n v="0.159999996423721"/>
        <n v="1.76999998092651"/>
        <n v="3.58999991416931"/>
        <n v="1.41999995708466"/>
        <n v="1.63999998569489"/>
        <n v="0.899999976158142"/>
        <n v="0.680000007152557"/>
        <n v="1.25"/>
        <n v="1.01999998092651"/>
        <n v="0.330000013113022"/>
        <n v="0.189999997615814"/>
        <n v="0.370000004768372"/>
        <n v="3.01999998092651"/>
        <n v="0.0399999991059303"/>
        <n v="1.67999994754791"/>
        <n v="1.29999995231628"/>
        <n v="0.779999971389771"/>
        <n v="0.870000004768372"/>
        <n v="1.03999996185303"/>
        <n v="2.17000007629395"/>
        <n v="1.02999997138977"/>
        <n v="1.71000003814697"/>
        <n v="1.62000000476837"/>
        <n v="2.48000001907349"/>
        <n v="0.939999997615814"/>
        <n v="0.0700000002980232"/>
        <n v="1.45000004768372"/>
        <n v="0.0199999995529652"/>
        <n v="0.620000004768372"/>
        <n v="0.0900000035762787"/>
        <n v="0.5"/>
        <n v="0.409999996423721"/>
        <n v="1.1599999666214"/>
        <n v="0.180000007152557"/>
        <n v="2.45000004768372"/>
        <n v="0.550000011920929"/>
        <n v="0.129999995231628"/>
        <n v="0.230000004172325"/>
        <n v="0.25"/>
        <n v="0.959999978542328"/>
        <n v="1.12999999523163"/>
        <n v="0.800000011920929"/>
        <n v="0.360000014305115"/>
        <n v="0.540000021457672"/>
        <n v="0.28999999165535"/>
        <n v="2.3199999332428"/>
        <n v="2.01999998092651"/>
        <n v="1.95000004768372"/>
        <n v="1.5900000333786"/>
        <n v="1.24000000953674"/>
        <n v="2.90000009536743"/>
        <n v="2.0699999332428"/>
        <n v="2.30999994277954"/>
        <n v="2.41000008583069"/>
        <n v="3.26999998092651"/>
        <n v="2.14000010490417"/>
        <n v="0.280000001192093"/>
        <n v="2.25999999046326"/>
        <n v="4.76000022888184"/>
        <n v="8.1899995803833"/>
        <n v="1.99000000953674"/>
        <n v="3.97000002861023"/>
        <n v="3.13000011444092"/>
        <n v="4.90999984741211"/>
        <n v="2.9300000667572"/>
        <n v="0.239999994635582"/>
        <n v="2.02999997138977"/>
        <n v="1.73000001907349"/>
        <n v="2.86999988555908"/>
        <n v="1.37000000476837"/>
        <n v="3.5"/>
        <n v="0.699999988079071"/>
        <n v="3.75999999046326"/>
        <n v="1.00999999046326"/>
        <n v="5.90999984741211"/>
        <n v="2.38000011444092"/>
        <n v="4.17999982833862"/>
        <n v="2.47000002861023"/>
        <n v="2.21000003814697"/>
        <n v="1.36000001430511"/>
        <n v="1.0900000333786"/>
        <n v="2.88000011444092"/>
        <n v="4.48999977111816"/>
        <n v="6.40999984741211"/>
        <n v="5.80000019073486"/>
        <n v="4.3899998664856"/>
        <n v="5.34999990463257"/>
        <n v="5.09999990463257"/>
        <n v="4.69999980926514"/>
        <n v="1.04999995231628"/>
        <n v="4.5"/>
        <n v="2.82999992370605"/>
        <n v="0.529999971389771"/>
        <n v="1.79999995231628"/>
        <n v="1.4099999666214"/>
        <n v="7.23000001907349"/>
        <n v="2.5"/>
        <n v="1.08000004291534"/>
        <n v="0.740000009536743"/>
        <n v="12.0600004196167"/>
        <n v="16.8199996948242"/>
        <n v="9.67000007629395"/>
        <n v="9.96000003814697"/>
        <n v="8.96000003814697"/>
        <n v="9.97000026702881"/>
        <n v="6.76999998092651"/>
        <n v="6.69000005722046"/>
        <n v="3.04999995231628"/>
        <n v="9.97999954223633"/>
        <n v="1.0"/>
        <n v="5.69999980926514"/>
        <n v="6.23000001907349"/>
        <n v="4.09000015258789"/>
        <n v="5.0"/>
        <n v="1.49000000953674"/>
        <n v="1.53999996185303"/>
        <n v="0.829999983310699"/>
        <n v="0.100000001490116"/>
        <n v="0.259999990463257"/>
        <n v="0.109999999403954"/>
        <n v="0.00999999977648258"/>
        <n v="8.69999980926514"/>
        <n v="14.7200002670288"/>
        <n v="11.7299995422363"/>
        <n v="0.769999980926514"/>
        <n v="12.2200002670288"/>
        <n v="2.96000003814697"/>
        <n v="11.1000003814697"/>
        <n v="21.9200000762939"/>
        <n v="1.47000002861023"/>
      </sharedItems>
    </cacheField>
    <cacheField name="ModeratelyActiveDistance" numFmtId="0">
      <sharedItems containsSemiMixedTypes="0" containsString="0" containsNumber="1">
        <n v="0.46000000834465"/>
        <n v="0.730000019073486"/>
        <n v="0.159999996423721"/>
        <n v="0.790000021457672"/>
        <n v="1.0900000333786"/>
        <n v="0.509999990463257"/>
        <n v="0.490000009536743"/>
        <n v="0.829999983310699"/>
        <n v="0.449999988079071"/>
        <n v="1.27999997138977"/>
        <n v="0.699999988079071"/>
        <n v="0.759999990463257"/>
        <n v="0.479999989271164"/>
        <n v="0.899999976158142"/>
        <n v="0.589999973773956"/>
        <n v="0.569999992847443"/>
        <n v="0.0"/>
        <n v="0.270000010728836"/>
        <n v="0.25"/>
        <n v="0.779999971389771"/>
        <n v="6.40000009536743"/>
        <n v="0.769999980926514"/>
        <n v="0.170000001788139"/>
        <n v="1.51999998092651"/>
        <n v="2.11999988555908"/>
        <n v="2.41000008583069"/>
        <n v="3.72000002861023"/>
        <n v="0.370000004768372"/>
        <n v="0.629999995231628"/>
        <n v="0.889999985694885"/>
        <n v="1.28999996185303"/>
        <n v="0.980000019073486"/>
        <n v="1.75"/>
        <n v="2.21000003814697"/>
        <n v="0.560000002384186"/>
        <n v="0.469999998807907"/>
        <n v="1.04999995231628"/>
        <n v="0.219999998807907"/>
        <n v="0.419999986886978"/>
        <n v="0.119999997317791"/>
        <n v="3.11999988555908"/>
        <n v="2.05999994277954"/>
        <n v="2.0"/>
        <n v="0.810000002384186"/>
        <n v="1.23000001907349"/>
        <n v="2.75999999046326"/>
        <n v="0.349999994039536"/>
        <n v="1.82000005245209"/>
        <n v="2.9300000667572"/>
        <n v="0.800000011920929"/>
        <n v="0.689999997615814"/>
        <n v="0.409999996423721"/>
        <n v="0.340000003576279"/>
        <n v="0.0399999991059303"/>
        <n v="0.0900000035762787"/>
        <n v="0.150000005960464"/>
        <n v="0.180000007152557"/>
        <n v="0.839999973773956"/>
        <n v="2.00999999046326"/>
        <n v="1.35000002384186"/>
        <n v="3.59999990463257"/>
        <n v="4.44000005722046"/>
        <n v="1.74000000953674"/>
        <n v="0.0500000007450581"/>
        <n v="0.920000016689301"/>
        <n v="0.209999993443489"/>
        <n v="0.949999988079071"/>
        <n v="0.28999999165535"/>
        <n v="1.47000002861023"/>
        <n v="0.239999994635582"/>
        <n v="0.330000013113022"/>
        <n v="1.29999995231628"/>
        <n v="0.360000014305115"/>
        <n v="5.48999977111816"/>
        <n v="0.300000011920929"/>
        <n v="0.430000007152557"/>
        <n v="0.610000014305115"/>
        <n v="0.850000023841858"/>
        <n v="0.189999997615814"/>
        <n v="1.50999999046326"/>
        <n v="1.41999995708466"/>
        <n v="0.529999971389771"/>
        <n v="2.08999991416931"/>
        <n v="0.379999995231628"/>
        <n v="0.259999990463257"/>
        <n v="0.100000001490116"/>
        <n v="0.230000004172325"/>
        <n v="0.860000014305115"/>
        <n v="0.550000011920929"/>
        <n v="1.46000003814697"/>
        <n v="2.84999990463257"/>
        <n v="1.20000004768372"/>
        <n v="0.620000004768372"/>
        <n v="2.6800000667572"/>
        <n v="1.1599999666214"/>
        <n v="0.439999997615814"/>
        <n v="1.70000004768372"/>
        <n v="1.73000001907349"/>
        <n v="1.48000001907349"/>
        <n v="0.670000016689301"/>
        <n v="0.600000023841858"/>
        <n v="0.970000028610229"/>
        <n v="1.37000000476837"/>
        <n v="0.0599999986588955"/>
        <n v="1.42999994754791"/>
        <n v="0.639999985694885"/>
        <n v="3.6800000667572"/>
        <n v="1.26999998092651"/>
        <n v="2.03999996185303"/>
        <n v="2.44000005722046"/>
        <n v="3.33999991416931"/>
        <n v="4.48999977111816"/>
        <n v="1.91999995708466"/>
        <n v="2.4300000667572"/>
        <n v="3.25999999046326"/>
        <n v="1.25"/>
        <n v="2.88000011444092"/>
        <n v="2.73000001907349"/>
        <n v="1.19000005722046"/>
        <n v="0.740000009536743"/>
        <n v="1.88999998569489"/>
        <n v="1.12000000476837"/>
        <n v="1.39999997615814"/>
        <n v="0.129999995231628"/>
        <n v="1.62999999523163"/>
        <n v="0.310000002384186"/>
        <n v="0.910000026226044"/>
        <n v="0.930000007152557"/>
        <n v="1.54999995231628"/>
        <n v="1.05999994277954"/>
        <n v="0.819999992847443"/>
        <n v="0.75"/>
        <n v="0.879999995231628"/>
        <n v="0.709999978542328"/>
        <n v="0.140000000596046"/>
        <n v="0.389999985694885"/>
        <n v="1.21000003814697"/>
        <n v="0.649999976158142"/>
        <n v="0.540000021457672"/>
        <n v="0.0199999995529652"/>
      </sharedItems>
    </cacheField>
    <cacheField name="LightActiveDistance" numFmtId="0">
      <sharedItems containsSemiMixedTypes="0" containsString="0" containsNumber="1">
        <n v="4.07000017166138"/>
        <n v="3.91000008583069"/>
        <n v="3.71000003814697"/>
        <n v="4.94999980926514"/>
        <n v="4.6100001335144"/>
        <n v="4.28999996185303"/>
        <n v="5.03999996185303"/>
        <n v="3.64000010490417"/>
        <n v="3.74000000953674"/>
        <n v="4.17999982833862"/>
        <n v="5.69000005722046"/>
        <n v="6.03999996185303"/>
        <n v="5.15000009536743"/>
        <n v="4.44999980926514"/>
        <n v="4.92000007629395"/>
        <n v="2.48000001907349"/>
        <n v="4.65000009536743"/>
        <n v="0.129999995231628"/>
        <n v="1.12999999523163"/>
        <n v="0.529999971389771"/>
        <n v="1.27999997138977"/>
        <n v="1.24000000953674"/>
        <n v="1.0"/>
        <n v="1.0900000333786"/>
        <n v="2.15000009536743"/>
        <n v="5.96999979019165"/>
        <n v="1.00999999046326"/>
        <n v="1.87999999523163"/>
        <n v="12.0"/>
        <n v="0.870000004768372"/>
        <n v="0.649999976158142"/>
        <n v="0.720000028610229"/>
        <n v="4.09999990463257"/>
        <n v="2.28999996185303"/>
        <n v="1.80999994277954"/>
        <n v="6.5"/>
        <n v="4.30999994277954"/>
        <n v="2.59999990463257"/>
        <n v="5.73000001907349"/>
        <n v="3.78999996185303"/>
        <n v="1.55999994277954"/>
        <n v="5.3600001335144"/>
        <n v="2.45000004768372"/>
        <n v="5.5"/>
        <n v="2.80999994277954"/>
        <n v="5.03000020980835"/>
        <n v="0.970000028610229"/>
        <n v="3.54999995231628"/>
        <n v="0.0"/>
        <n v="4.19000005722046"/>
        <n v="3.50999999046326"/>
        <n v="3.28999996185303"/>
        <n v="4.32999992370605"/>
        <n v="3.58999991416931"/>
        <n v="2.61999988555908"/>
        <n v="3.92000007629395"/>
        <n v="2.21000003814697"/>
        <n v="1.62999999523163"/>
        <n v="1.54999995231628"/>
        <n v="0.360000014305115"/>
        <n v="1.37999999523163"/>
        <n v="1.46000003814697"/>
        <n v="0.839999973773956"/>
        <n v="0.0199999995529652"/>
        <n v="3.83999991416931"/>
        <n v="5.1399998664856"/>
        <n v="4.69000005722046"/>
        <n v="5.8899998664856"/>
        <n v="5.75"/>
        <n v="4.51000022888184"/>
        <n v="5.46999979019165"/>
        <n v="6.36999988555908"/>
        <n v="5.90000009536743"/>
        <n v="5.32999992370605"/>
        <n v="1.26999998092651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4.71999979019165"/>
        <n v="2.29999995231628"/>
        <n v="2.79999995231628"/>
        <n v="1.52999997138977"/>
        <n v="6.65999984741211"/>
        <n v="1.4099999666214"/>
        <n v="3.26999998092651"/>
        <n v="4.46999979019165"/>
        <n v="5.82000017166138"/>
        <n v="4.15999984741211"/>
        <n v="4.67999982833862"/>
        <n v="3.6800000667572"/>
        <n v="4.94000005722046"/>
        <n v="6.23000001907349"/>
        <n v="7.55999994277954"/>
        <n v="3.35999989509583"/>
        <n v="0.600000023841858"/>
        <n v="1.49000000953674"/>
        <n v="4.15000009536743"/>
        <n v="5.28999996185303"/>
        <n v="5.65000009536743"/>
        <n v="5.23999977111816"/>
        <n v="4.80999994277954"/>
        <n v="6.1399998664856"/>
        <n v="3.17000007629395"/>
        <n v="3.22000002861023"/>
        <n v="1.61000001430511"/>
        <n v="3.21000003814697"/>
        <n v="2.49000000953674"/>
        <n v="3.01999998092651"/>
        <n v="3.51999998092651"/>
        <n v="4.05000019073486"/>
        <n v="3.76999998092651"/>
        <n v="4.0"/>
        <n v="1.99000000953674"/>
        <n v="3.00999999046326"/>
        <n v="4.90999984741211"/>
        <n v="5.17000007629395"/>
        <n v="6.86999988555908"/>
        <n v="2.03999996185303"/>
        <n v="2.40000009536743"/>
        <n v="5.53000020980835"/>
        <n v="1.96000003814697"/>
        <n v="0.569999992847443"/>
        <n v="3.96000003814697"/>
        <n v="2.27999997138977"/>
        <n v="2.14000010490417"/>
        <n v="4.03999996185303"/>
        <n v="6.90000009536743"/>
        <n v="0.610000014305115"/>
        <n v="0.209999993443489"/>
        <n v="2.96000003814697"/>
        <n v="3.84999990463257"/>
        <n v="2.74000000953674"/>
        <n v="4.3600001335144"/>
        <n v="3.65000009536743"/>
        <n v="5.30999994277954"/>
        <n v="4.3899998664856"/>
        <n v="5.01000022888184"/>
        <n v="3.8199999332428"/>
        <n v="2.08999991416931"/>
        <n v="0.00999999977648258"/>
        <n v="3.44000005722046"/>
        <n v="0.259999990463257"/>
        <n v="0.689999997615814"/>
        <n v="0.0299999993294477"/>
        <n v="1.94000005722046"/>
        <n v="4.38000011444092"/>
        <n v="1.6599999666214"/>
        <n v="3.75999999046326"/>
        <n v="0.540000021457672"/>
        <n v="1.21000003814697"/>
        <n v="4.96999979019165"/>
        <n v="0.140000000596046"/>
        <n v="3.23000001907349"/>
        <n v="5.36999988555908"/>
        <n v="4.46000003814697"/>
        <n v="4.34000015258789"/>
        <n v="4.86999988555908"/>
        <n v="5.26999998092651"/>
        <n v="3.85999989509583"/>
        <n v="1.74000000953674"/>
        <n v="2.19000005722046"/>
        <n v="3.60999989509583"/>
        <n v="2.10999989509583"/>
        <n v="2.52999997138977"/>
        <n v="2.35999989509583"/>
        <n v="2.54999995231628"/>
        <n v="3.72000002861023"/>
        <n v="1.95000004768372"/>
        <n v="0.189999997615814"/>
        <n v="3.52999997138977"/>
        <n v="2.09999990463257"/>
        <n v="3.75"/>
        <n v="5.42000007629395"/>
        <n v="4.53000020980835"/>
        <n v="2.76999998092651"/>
        <n v="4.13000011444092"/>
        <n v="5.84000015258789"/>
        <n v="0.819999992847443"/>
        <n v="4.67000007629395"/>
        <n v="5.34999990463257"/>
        <n v="5.44000005722046"/>
        <n v="6.92000007629395"/>
        <n v="6.71999979019165"/>
        <n v="3.36999988555908"/>
        <n v="5.63000011444092"/>
        <n v="5.34000015258789"/>
        <n v="5.94999980926514"/>
        <n v="8.0600004196167"/>
        <n v="7.78999996185303"/>
        <n v="4.57999992370605"/>
        <n v="1.9099999666214"/>
        <n v="0.990000009536743"/>
        <n v="4.09000015258789"/>
        <n v="3.89000010490417"/>
        <n v="5.07999992370605"/>
        <n v="3.07999992370605"/>
        <n v="3.0"/>
        <n v="1.88999998569489"/>
        <n v="3.99000000953674"/>
        <n v="1.04999995231628"/>
        <n v="2.25"/>
        <n v="2.30999994277954"/>
        <n v="4.44000005722046"/>
        <n v="2.88000011444092"/>
        <n v="3.80999994277954"/>
        <n v="5.61999988555908"/>
        <n v="12.5100002288818"/>
        <n v="5.57000017166138"/>
        <n v="7.48000001907349"/>
        <n v="9.36999988555908"/>
        <n v="3.66000008583069"/>
        <n v="6.73000001907349"/>
        <n v="8.14999961853027"/>
        <n v="1.51999998092651"/>
        <n v="7.46000003814697"/>
        <n v="2.1800000667572"/>
        <n v="0.170000001788139"/>
        <n v="3.14000010490417"/>
        <n v="0.980000019073486"/>
        <n v="3.90000009536743"/>
        <n v="3.24000000953674"/>
        <n v="3.86999988555908"/>
        <n v="5.65999984741211"/>
        <n v="4.96000003814697"/>
        <n v="5.13000011444092"/>
        <n v="0.46000000834465"/>
        <n v="4.23999977111816"/>
        <n v="6.13000011444092"/>
        <n v="3.47000002861023"/>
        <n v="4.78999996185303"/>
        <n v="4.55999994277954"/>
        <n v="4.28000020980835"/>
        <n v="4.21000003814697"/>
        <n v="6.57999992370605"/>
        <n v="6.1100001335144"/>
        <n v="6.28999996185303"/>
        <n v="0.939999997615814"/>
        <n v="2.9300000667572"/>
        <n v="0.730000019073486"/>
        <n v="3.09999990463257"/>
        <n v="2.60999989509583"/>
        <n v="2.4300000667572"/>
        <n v="2.58999991416931"/>
        <n v="3.46000003814697"/>
        <n v="0.340000003576279"/>
        <n v="2.71000003814697"/>
        <n v="1.69000005722046"/>
        <n v="3.34999990463257"/>
        <n v="2.91000008583069"/>
        <n v="2.99000000953674"/>
        <n v="2.5"/>
        <n v="3.88000011444092"/>
        <n v="2.38000011444092"/>
        <n v="1.50999999046326"/>
        <n v="2.50999999046326"/>
        <n v="1.66999995708466"/>
        <n v="1.08000004291534"/>
        <n v="2.66000008583069"/>
        <n v="6.17000007629395"/>
        <n v="6.98999977111816"/>
        <n v="4.76999998092651"/>
        <n v="1.77999997138977"/>
        <n v="4.59000015258789"/>
        <n v="1.02999997138977"/>
        <n v="1.70000004768372"/>
        <n v="2.69000005722046"/>
        <n v="1.86000001430511"/>
        <n v="2.46000003814697"/>
        <n v="2.20000004768372"/>
        <n v="1.10000002384186"/>
        <n v="2.70000004768372"/>
        <n v="4.76000022888184"/>
        <n v="2.23000001907349"/>
        <n v="1.29999995231628"/>
        <n v="1.36000001430511"/>
        <n v="0.829999983310699"/>
        <n v="2.95000004768372"/>
        <n v="0.109999999403954"/>
        <n v="6.90999984741211"/>
        <n v="7.34000015258789"/>
        <n v="6.0"/>
        <n v="7.09000015258789"/>
        <n v="8.07999992370605"/>
        <n v="8.61999988555908"/>
        <n v="8.02000045776367"/>
      </sharedItems>
    </cacheField>
    <cacheField name="SedentaryActiveDistance" numFmtId="0">
      <sharedItems containsSemiMixedTypes="0" containsString="0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</sharedItems>
    </cacheField>
    <cacheField name="VeryActiveMinutes" numFmtId="0">
      <sharedItems containsSemiMixedTypes="0" containsString="0" containsNumber="1" containsInteger="1">
        <n v="33.0"/>
        <n v="89.0"/>
        <n v="56.0"/>
        <n v="39.0"/>
        <n v="28.0"/>
        <n v="30.0"/>
        <n v="47.0"/>
        <n v="40.0"/>
        <n v="15.0"/>
        <n v="43.0"/>
        <n v="36.0"/>
        <n v="27.0"/>
        <n v="17.0"/>
        <n v="46.0"/>
        <n v="32.0"/>
        <n v="44.0"/>
        <n v="26.0"/>
        <n v="0.0"/>
        <n v="7.0"/>
        <n v="34.0"/>
        <n v="59.0"/>
        <n v="4.0"/>
        <n v="5.0"/>
        <n v="18.0"/>
        <n v="3.0"/>
        <n v="9.0"/>
        <n v="72.0"/>
        <n v="25.0"/>
        <n v="62.0"/>
        <n v="1.0"/>
        <n v="41.0"/>
        <n v="10.0"/>
        <n v="2.0"/>
        <n v="21.0"/>
        <n v="51.0"/>
        <n v="14.0"/>
        <n v="16.0"/>
        <n v="12.0"/>
        <n v="6.0"/>
        <n v="24.0"/>
        <n v="20.0"/>
        <n v="22.0"/>
        <n v="29.0"/>
        <n v="35.0"/>
        <n v="31.0"/>
        <n v="8.0"/>
        <n v="23.0"/>
        <n v="38.0"/>
        <n v="99.0"/>
        <n v="202.0"/>
        <n v="58.0"/>
        <n v="70.0"/>
        <n v="107.0"/>
        <n v="83.0"/>
        <n v="123.0"/>
        <n v="80.0"/>
        <n v="50.0"/>
        <n v="73.0"/>
        <n v="55.0"/>
        <n v="45.0"/>
        <n v="19.0"/>
        <n v="104.0"/>
        <n v="64.0"/>
        <n v="61.0"/>
        <n v="54.0"/>
        <n v="53.0"/>
        <n v="76.0"/>
        <n v="124.0"/>
        <n v="165.0"/>
        <n v="100.0"/>
        <n v="98.0"/>
        <n v="101.0"/>
        <n v="60.0"/>
        <n v="96.0"/>
        <n v="105.0"/>
        <n v="113.0"/>
        <n v="74.0"/>
        <n v="65.0"/>
        <n v="67.0"/>
        <n v="116.0"/>
        <n v="106.0"/>
        <n v="78.0"/>
        <n v="87.0"/>
        <n v="90.0"/>
        <n v="128.0"/>
      </sharedItems>
    </cacheField>
    <cacheField name="FairlyActiveMinutes" numFmtId="0">
      <sharedItems containsSemiMixedTypes="0" containsString="0" containsNumber="1" containsInteger="1">
        <n v="12.0"/>
        <n v="17.0"/>
        <n v="5.0"/>
        <n v="20.0"/>
        <n v="28.0"/>
        <n v="13.0"/>
        <n v="21.0"/>
        <n v="11.0"/>
        <n v="30.0"/>
        <n v="18.0"/>
        <n v="22.0"/>
        <n v="15.0"/>
        <n v="14.0"/>
        <n v="0.0"/>
        <n v="4.0"/>
        <n v="7.0"/>
        <n v="16.0"/>
        <n v="141.0"/>
        <n v="35.0"/>
        <n v="41.0"/>
        <n v="58.0"/>
        <n v="43.0"/>
        <n v="81.0"/>
        <n v="9.0"/>
        <n v="19.0"/>
        <n v="37.0"/>
        <n v="42.0"/>
        <n v="62.0"/>
        <n v="23.0"/>
        <n v="2.0"/>
        <n v="33.0"/>
        <n v="25.0"/>
        <n v="46.0"/>
        <n v="32.0"/>
        <n v="6.0"/>
        <n v="3.0"/>
        <n v="52.0"/>
        <n v="24.0"/>
        <n v="8.0"/>
        <n v="660.0"/>
        <n v="1.0"/>
        <n v="10.0"/>
        <n v="45.0"/>
        <n v="101.0"/>
        <n v="36.0"/>
        <n v="120.0"/>
        <n v="39.0"/>
        <n v="51.0"/>
        <n v="57.0"/>
        <n v="27.0"/>
        <n v="56.0"/>
        <n v="26.0"/>
        <n v="31.0"/>
        <n v="107.0"/>
        <n v="50.0"/>
        <n v="133.0"/>
        <n v="99.0"/>
        <n v="114.0"/>
        <n v="77.0"/>
        <n v="38.0"/>
        <n v="48.0"/>
        <n v="29.0"/>
      </sharedItems>
    </cacheField>
    <cacheField name="LightlyActiveMinutes" numFmtId="0">
      <sharedItems containsSemiMixedTypes="0" containsString="0" containsNumber="1" containsInteger="1">
        <n v="205.0"/>
        <n v="274.0"/>
        <n v="268.0"/>
        <n v="224.0"/>
        <n v="243.0"/>
        <n v="223.0"/>
        <n v="239.0"/>
        <n v="200.0"/>
        <n v="244.0"/>
        <n v="314.0"/>
        <n v="285.0"/>
        <n v="341.0"/>
        <n v="228.0"/>
        <n v="195.0"/>
        <n v="212.0"/>
        <n v="248.0"/>
        <n v="168.0"/>
        <n v="216.0"/>
        <n v="9.0"/>
        <n v="121.0"/>
        <n v="47.0"/>
        <n v="112.0"/>
        <n v="95.0"/>
        <n v="66.0"/>
        <n v="84.0"/>
        <n v="144.0"/>
        <n v="221.0"/>
        <n v="88.0"/>
        <n v="157.0"/>
        <n v="270.0"/>
        <n v="74.0"/>
        <n v="55.0"/>
        <n v="54.0"/>
        <n v="143.0"/>
        <n v="122.0"/>
        <n v="186.0"/>
        <n v="172.0"/>
        <n v="89.0"/>
        <n v="586.0"/>
        <n v="347.0"/>
        <n v="283.0"/>
        <n v="87.0"/>
        <n v="219.0"/>
        <n v="137.0"/>
        <n v="230.0"/>
        <n v="161.0"/>
        <n v="192.0"/>
        <n v="35.0"/>
        <n v="251.0"/>
        <n v="263.0"/>
        <n v="136.0"/>
        <n v="0.0"/>
        <n v="1.0"/>
        <n v="290.0"/>
        <n v="184.0"/>
        <n v="305.0"/>
        <n v="267.0"/>
        <n v="146.0"/>
        <n v="128.0"/>
        <n v="108.0"/>
        <n v="73.0"/>
        <n v="43.0"/>
        <n v="34.0"/>
        <n v="134.0"/>
        <n v="139.0"/>
        <n v="3.0"/>
        <n v="213.0"/>
        <n v="237.0"/>
        <n v="279.0"/>
        <n v="233.0"/>
        <n v="298.0"/>
        <n v="258.0"/>
        <n v="252.0"/>
        <n v="296.0"/>
        <n v="302.0"/>
        <n v="339.0"/>
        <n v="272.0"/>
        <n v="67.0"/>
        <n v="166.0"/>
        <n v="69.0"/>
        <n v="115.0"/>
        <n v="185.0"/>
        <n v="170.0"/>
        <n v="173.0"/>
        <n v="164.0"/>
        <n v="64.0"/>
        <n v="175.0"/>
        <n v="320.0"/>
        <n v="93.0"/>
        <n v="153.0"/>
        <n v="208.0"/>
        <n v="103.0"/>
        <n v="390.0"/>
        <n v="255.0"/>
        <n v="250.0"/>
        <n v="327.0"/>
        <n v="324.0"/>
        <n v="231.0"/>
        <n v="269.0"/>
        <n v="196.0"/>
        <n v="315.0"/>
        <n v="316.0"/>
        <n v="401.0"/>
        <n v="303.0"/>
        <n v="41.0"/>
        <n v="197.0"/>
        <n v="355.0"/>
        <n v="374.0"/>
        <n v="382.0"/>
        <n v="363.0"/>
        <n v="380.0"/>
        <n v="288.0"/>
        <n v="357.0"/>
        <n v="720.0"/>
        <n v="630.0"/>
        <n v="311.0"/>
        <n v="299.0"/>
        <n v="325.0"/>
        <n v="332.0"/>
        <n v="282.0"/>
        <n v="346.0"/>
        <n v="152.0"/>
        <n v="297.0"/>
        <n v="291.0"/>
        <n v="331.0"/>
        <n v="174.0"/>
        <n v="254.0"/>
        <n v="99.0"/>
        <n v="129.0"/>
        <n v="17.0"/>
        <n v="145.0"/>
        <n v="215.0"/>
        <n v="309.0"/>
        <n v="75.0"/>
        <n v="187.0"/>
        <n v="261.0"/>
        <n v="210.0"/>
        <n v="162.0"/>
        <n v="265.0"/>
        <n v="193.0"/>
        <n v="165.0"/>
        <n v="241.0"/>
        <n v="176.0"/>
        <n v="114.0"/>
        <n v="135.0"/>
        <n v="15.0"/>
        <n v="2.0"/>
        <n v="46.0"/>
        <n v="169.0"/>
        <n v="190.0"/>
        <n v="86.0"/>
        <n v="160.0"/>
        <n v="25.0"/>
        <n v="60.0"/>
        <n v="11.0"/>
        <n v="199.0"/>
        <n v="247.0"/>
        <n v="257.0"/>
        <n v="313.0"/>
        <n v="308.0"/>
        <n v="304.0"/>
        <n v="276.0"/>
        <n v="155.0"/>
        <n v="163.0"/>
        <n v="238.0"/>
        <n v="273.0"/>
        <n v="171.0"/>
        <n v="110.0"/>
        <n v="235.0"/>
        <n v="266.0"/>
        <n v="20.0"/>
        <n v="367.0"/>
        <n v="259.0"/>
        <n v="76.0"/>
        <n v="227.0"/>
        <n v="256.0"/>
        <n v="323.0"/>
        <n v="381.0"/>
        <n v="207.0"/>
        <n v="181.0"/>
        <n v="198.0"/>
        <n v="218.0"/>
        <n v="229.0"/>
        <n v="150.0"/>
        <n v="234.0"/>
        <n v="50.0"/>
        <n v="142.0"/>
        <n v="240.0"/>
        <n v="204.0"/>
        <n v="156.0"/>
        <n v="138.0"/>
        <n v="286.0"/>
        <n v="475.0"/>
        <n v="384.0"/>
        <n v="491.0"/>
        <n v="422.0"/>
        <n v="506.0"/>
        <n v="280.0"/>
        <n v="113.0"/>
        <n v="301.0"/>
        <n v="8.0"/>
        <n v="79.0"/>
        <n v="300.0"/>
        <n v="287.0"/>
        <n v="284.0"/>
        <n v="306.0"/>
        <n v="48.0"/>
        <n v="271.0"/>
        <n v="292.0"/>
        <n v="358.0"/>
        <n v="397.0"/>
        <n v="375.0"/>
        <n v="154.0"/>
        <n v="27.0"/>
        <n v="132.0"/>
        <n v="124.0"/>
        <n v="127.0"/>
        <n v="140.0"/>
        <n v="126.0"/>
        <n v="14.0"/>
        <n v="97.0"/>
        <n v="191.0"/>
        <n v="120.0"/>
        <n v="16.0"/>
        <n v="94.0"/>
        <n v="107.0"/>
        <n v="148.0"/>
        <n v="220.0"/>
        <n v="189.0"/>
        <n v="167.0"/>
        <n v="117.0"/>
        <n v="182.0"/>
        <n v="49.0"/>
        <n v="131.0"/>
        <n v="147.0"/>
        <n v="328.0"/>
        <n v="111.0"/>
        <n v="77.0"/>
        <n v="71.0"/>
        <n v="63.0"/>
        <n v="179.0"/>
        <n v="12.0"/>
        <n v="6.0"/>
        <n v="260.0"/>
        <n v="246.0"/>
        <n v="318.0"/>
        <n v="359.0"/>
        <n v="289.0"/>
        <n v="211.0"/>
        <n v="225.0"/>
        <n v="58.0"/>
      </sharedItems>
    </cacheField>
    <cacheField name="SedentaryMinutes" numFmtId="0">
      <sharedItems containsSemiMixedTypes="0" containsString="0" containsNumber="1" containsInteger="1">
        <n v="804.0"/>
        <n v="588.0"/>
        <n v="605.0"/>
        <n v="1080.0"/>
        <n v="763.0"/>
        <n v="1174.0"/>
        <n v="820.0"/>
        <n v="866.0"/>
        <n v="636.0"/>
        <n v="655.0"/>
        <n v="757.0"/>
        <n v="736.0"/>
        <n v="1173.0"/>
        <n v="1208.0"/>
        <n v="1160.0"/>
        <n v="738.0"/>
        <n v="737.0"/>
        <n v="855.0"/>
        <n v="32.0"/>
        <n v="1319.0"/>
        <n v="1393.0"/>
        <n v="1328.0"/>
        <n v="1345.0"/>
        <n v="1374.0"/>
        <n v="1356.0"/>
        <n v="1285.0"/>
        <n v="1219.0"/>
        <n v="1352.0"/>
        <n v="1283.0"/>
        <n v="1170.0"/>
        <n v="1366.0"/>
        <n v="1385.0"/>
        <n v="1386.0"/>
        <n v="1297.0"/>
        <n v="1318.0"/>
        <n v="1240.0"/>
        <n v="1268.0"/>
        <n v="604.0"/>
        <n v="838.0"/>
        <n v="918.0"/>
        <n v="1082.0"/>
        <n v="1181.0"/>
        <n v="1244.0"/>
        <n v="1149.0"/>
        <n v="1229.0"/>
        <n v="207.0"/>
        <n v="1171.0"/>
        <n v="1177.0"/>
        <n v="1114.0"/>
        <n v="669.0"/>
        <n v="1440.0"/>
        <n v="1439.0"/>
        <n v="1150.0"/>
        <n v="620.0"/>
        <n v="810.0"/>
        <n v="1189.0"/>
        <n v="426.0"/>
        <n v="854.0"/>
        <n v="858.0"/>
        <n v="1183.0"/>
        <n v="829.0"/>
        <n v="912.0"/>
        <n v="938.0"/>
        <n v="1397.0"/>
        <n v="1406.0"/>
        <n v="1250.0"/>
        <n v="805.0"/>
        <n v="842.0"/>
        <n v="161.0"/>
        <n v="1139.0"/>
        <n v="1203.0"/>
        <n v="1126.0"/>
        <n v="1069.0"/>
        <n v="1093.0"/>
        <n v="1054.0"/>
        <n v="1092.0"/>
        <n v="1078.0"/>
        <n v="1077.0"/>
        <n v="1111.0"/>
        <n v="551.0"/>
        <n v="729.0"/>
        <n v="795.0"/>
        <n v="720.0"/>
        <n v="644.0"/>
        <n v="621.0"/>
        <n v="673.0"/>
        <n v="719.0"/>
        <n v="700.0"/>
        <n v="654.0"/>
        <n v="694.0"/>
        <n v="223.0"/>
        <n v="1265.0"/>
        <n v="1120.0"/>
        <n v="1347.0"/>
        <n v="1287.0"/>
        <n v="1220.0"/>
        <n v="1337.0"/>
        <n v="1038.0"/>
        <n v="617.0"/>
        <n v="615.0"/>
        <n v="613.0"/>
        <n v="583.0"/>
        <n v="491.0"/>
        <n v="638.0"/>
        <n v="696.0"/>
        <n v="759.0"/>
        <n v="1002.0"/>
        <n v="711.0"/>
        <n v="970.0"/>
        <n v="463.0"/>
        <n v="788.0"/>
        <n v="425.0"/>
        <n v="1399.0"/>
        <n v="1243.0"/>
        <n v="1107.0"/>
        <n v="1055.0"/>
        <n v="1066.0"/>
        <n v="1058.0"/>
        <n v="1060.0"/>
        <n v="1098.0"/>
        <n v="1180.0"/>
        <n v="882.0"/>
        <n v="780.0"/>
        <n v="99.0"/>
        <n v="1129.0"/>
        <n v="1074.0"/>
        <n v="1141.0"/>
        <n v="1192.0"/>
        <n v="1094.0"/>
        <n v="1085.0"/>
        <n v="1158.0"/>
        <n v="1063.0"/>
        <n v="735.0"/>
        <n v="748.0"/>
        <n v="710.0"/>
        <n v="614.0"/>
        <n v="815.0"/>
        <n v="685.0"/>
        <n v="697.0"/>
        <n v="894.0"/>
        <n v="187.0"/>
        <n v="771.0"/>
        <n v="1005.0"/>
        <n v="874.0"/>
        <n v="599.0"/>
        <n v="986.0"/>
        <n v="1289.0"/>
        <n v="1253.0"/>
        <n v="860.0"/>
        <n v="752.0"/>
        <n v="776.0"/>
        <n v="741.0"/>
        <n v="1249.0"/>
        <n v="920.0"/>
        <n v="1191.0"/>
        <n v="1125.0"/>
        <n v="1185.0"/>
        <n v="1178.0"/>
        <n v="888.0"/>
        <n v="321.0"/>
        <n v="1438.0"/>
        <n v="1394.0"/>
        <n v="1271.0"/>
        <n v="1236.0"/>
        <n v="1354.0"/>
        <n v="1280.0"/>
        <n v="1295.0"/>
        <n v="1293.0"/>
        <n v="1380.0"/>
        <n v="1324.0"/>
        <n v="1247.0"/>
        <n v="400.0"/>
        <n v="683.0"/>
        <n v="702.0"/>
        <n v="578.0"/>
        <n v="569.0"/>
        <n v="668.0"/>
        <n v="1132.0"/>
        <n v="994.0"/>
        <n v="807.0"/>
        <n v="1277.0"/>
        <n v="786.0"/>
        <n v="898.0"/>
        <n v="672.0"/>
        <n v="1269.0"/>
        <n v="1330.0"/>
        <n v="745.0"/>
        <n v="939.0"/>
        <n v="941.0"/>
        <n v="758.0"/>
        <n v="755.0"/>
        <n v="789.0"/>
        <n v="253.0"/>
        <n v="1182.0"/>
        <n v="886.0"/>
        <n v="1073.0"/>
        <n v="1217.0"/>
        <n v="1105.0"/>
        <n v="1199.0"/>
        <n v="1164.0"/>
        <n v="555.0"/>
        <n v="760.0"/>
        <n v="742.0"/>
        <n v="708.0"/>
        <n v="475.0"/>
        <n v="471.0"/>
        <n v="746.0"/>
        <n v="770.0"/>
        <n v="808.0"/>
        <n v="407.0"/>
        <n v="528.0"/>
        <n v="809.0"/>
        <n v="782.0"/>
        <n v="356.0"/>
        <n v="507.0"/>
        <n v="754.0"/>
        <n v="772.0"/>
        <n v="731.0"/>
        <n v="767.0"/>
        <n v="552.0"/>
        <n v="688.0"/>
        <n v="61.0"/>
        <n v="721.0"/>
        <n v="663.0"/>
        <n v="689.0"/>
        <n v="756.0"/>
        <n v="695.0"/>
        <n v="813.0"/>
        <n v="601.0"/>
        <n v="209.0"/>
        <n v="568.0"/>
        <n v="466.0"/>
        <n v="1148.0"/>
        <n v="990.0"/>
        <n v="388.0"/>
        <n v="1018.0"/>
        <n v="413.0"/>
        <n v="1195.0"/>
        <n v="1407.0"/>
        <n v="494.0"/>
        <n v="1133.0"/>
        <n v="1432.0"/>
        <n v="198.0"/>
        <n v="909.0"/>
        <n v="1414.0"/>
        <n v="1011.0"/>
        <n v="550.0"/>
        <n v="739.0"/>
        <n v="1308.0"/>
        <n v="641.0"/>
        <n v="595.0"/>
        <n v="602.0"/>
        <n v="732.0"/>
        <n v="589.0"/>
        <n v="570.0"/>
        <n v="692.0"/>
        <n v="593.0"/>
        <n v="665.0"/>
        <n v="609.0"/>
        <n v="679.0"/>
        <n v="678.0"/>
        <n v="146.0"/>
        <n v="1075.0"/>
        <n v="1057.0"/>
        <n v="1030.0"/>
        <n v="1015.0"/>
        <n v="1020.0"/>
        <n v="405.0"/>
        <n v="777.0"/>
        <n v="872.0"/>
        <n v="1404.0"/>
        <n v="1159.0"/>
        <n v="814.0"/>
        <n v="797.0"/>
        <n v="717.0"/>
        <n v="1368.0"/>
        <n v="75.0"/>
        <n v="1142.0"/>
        <n v="1123.0"/>
        <n v="1135.0"/>
        <n v="1143.0"/>
        <n v="1221.0"/>
        <n v="1255.0"/>
        <n v="1346.0"/>
        <n v="1303.0"/>
        <n v="1230.0"/>
        <n v="1256.0"/>
        <n v="1314.0"/>
        <n v="657.0"/>
        <n v="600.0"/>
        <n v="658.0"/>
        <n v="686.0"/>
        <n v="728.0"/>
        <n v="670.0"/>
        <n v="868.0"/>
        <n v="843.0"/>
        <n v="727.0"/>
        <n v="811.0"/>
        <n v="243.0"/>
        <n v="1274.0"/>
        <n v="1309.0"/>
        <n v="1302.0"/>
        <n v="1052.0"/>
        <n v="1079.0"/>
        <n v="675.0"/>
        <n v="904.0"/>
        <n v="1261.0"/>
        <n v="1428.0"/>
        <n v="598.0"/>
        <n v="1040.0"/>
        <n v="1138.0"/>
        <n v="1019.0"/>
        <n v="982.0"/>
        <n v="1190.0"/>
        <n v="531.0"/>
      </sharedItems>
    </cacheField>
    <cacheField name="Calories" numFmtId="0">
      <sharedItems containsSemiMixedTypes="0" containsString="0" containsNumber="1" containsInteger="1">
        <n v="1819.0"/>
        <n v="2154.0"/>
        <n v="1944.0"/>
        <n v="1932.0"/>
        <n v="1886.0"/>
        <n v="1820.0"/>
        <n v="1889.0"/>
        <n v="1868.0"/>
        <n v="1843.0"/>
        <n v="1850.0"/>
        <n v="2030.0"/>
        <n v="2083.0"/>
        <n v="1861.0"/>
        <n v="1755.0"/>
        <n v="1895.0"/>
        <n v="1883.0"/>
        <n v="1811.0"/>
        <n v="50.0"/>
        <n v="1373.0"/>
        <n v="1264.0"/>
        <n v="1350.0"/>
        <n v="1342.0"/>
        <n v="1300.0"/>
        <n v="1313.0"/>
        <n v="1498.0"/>
        <n v="1541.0"/>
        <n v="1327.0"/>
        <n v="1452.0"/>
        <n v="1574.0"/>
        <n v="1308.0"/>
        <n v="1276.0"/>
        <n v="1278.0"/>
        <n v="1409.0"/>
        <n v="1370.0"/>
        <n v="1555.0"/>
        <n v="1469.0"/>
        <n v="706.0"/>
        <n v="3323.0"/>
        <n v="4029.0"/>
        <n v="3436.0"/>
        <n v="2444.0"/>
        <n v="3098.0"/>
        <n v="2925.0"/>
        <n v="3202.0"/>
        <n v="2928.0"/>
        <n v="3290.0"/>
        <n v="489.0"/>
        <n v="1969.0"/>
        <n v="1636.0"/>
        <n v="1347.0"/>
        <n v="1349.0"/>
        <n v="1965.0"/>
        <n v="1824.0"/>
        <n v="1807.0"/>
        <n v="1971.0"/>
        <n v="1888.0"/>
        <n v="399.0"/>
        <n v="2590.0"/>
        <n v="2783.0"/>
        <n v="2449.0"/>
        <n v="2380.0"/>
        <n v="2344.0"/>
        <n v="2202.0"/>
        <n v="2130.0"/>
        <n v="2088.0"/>
        <n v="2443.0"/>
        <n v="2442.0"/>
        <n v="2255.0"/>
        <n v="942.0"/>
        <n v="2645.0"/>
        <n v="2040.0"/>
        <n v="2395.0"/>
        <n v="2581.0"/>
        <n v="2735.0"/>
        <n v="2733.0"/>
        <n v="3021.0"/>
        <n v="2577.0"/>
        <n v="2811.0"/>
        <n v="2458.0"/>
        <n v="2568.0"/>
        <n v="1140.0"/>
        <n v="1407.0"/>
        <n v="1237.0"/>
        <n v="1330.0"/>
        <n v="1583.0"/>
        <n v="1538.0"/>
        <n v="1421.0"/>
        <n v="1392.0"/>
        <n v="1425.0"/>
        <n v="1413.0"/>
        <n v="1515.0"/>
        <n v="1405.0"/>
        <n v="600.0"/>
        <n v="1324.0"/>
        <n v="1708.0"/>
        <n v="1950.0"/>
        <n v="1508.0"/>
        <n v="1625.0"/>
        <n v="1772.0"/>
        <n v="1530.0"/>
        <n v="2206.0"/>
        <n v="790.0"/>
        <n v="2041.0"/>
        <n v="2187.0"/>
        <n v="1929.0"/>
        <n v="1935.0"/>
        <n v="2438.0"/>
        <n v="2035.0"/>
        <n v="2099.0"/>
        <n v="2096.0"/>
        <n v="2058.0"/>
        <n v="2338.0"/>
        <n v="2104.0"/>
        <n v="2488.0"/>
        <n v="2164.0"/>
        <n v="2009.0"/>
        <n v="1335.0"/>
        <n v="1559.0"/>
        <n v="1845.0"/>
        <n v="2046.0"/>
        <n v="1953.0"/>
        <n v="1910.0"/>
        <n v="2257.0"/>
        <n v="1724.0"/>
        <n v="1741.0"/>
        <n v="0.0"/>
        <n v="1920.0"/>
        <n v="4562.0"/>
        <n v="2881.0"/>
        <n v="1144.0"/>
        <n v="1852.0"/>
        <n v="2069.0"/>
        <n v="1816.0"/>
        <n v="1878.0"/>
        <n v="1787.0"/>
        <n v="2010.0"/>
        <n v="2038.0"/>
        <n v="1815.0"/>
        <n v="2062.0"/>
        <n v="1288.0"/>
        <n v="1490.0"/>
        <n v="1630.0"/>
        <n v="1648.0"/>
        <n v="1649.0"/>
        <n v="1783.0"/>
        <n v="1431.0"/>
        <n v="1524.0"/>
        <n v="1697.0"/>
        <n v="1232.0"/>
        <n v="1223.0"/>
        <n v="182.0"/>
        <n v="2990.0"/>
        <n v="2480.0"/>
        <n v="2570.0"/>
        <n v="3016.0"/>
        <n v="3830.0"/>
        <n v="3706.0"/>
        <n v="2024.0"/>
        <n v="2980.0"/>
        <n v="3728.0"/>
        <n v="3348.0"/>
        <n v="3162.0"/>
        <n v="3140.0"/>
        <n v="1980.0"/>
        <n v="3681.0"/>
        <n v="3444.0"/>
        <n v="3510.0"/>
        <n v="4010.0"/>
        <n v="2976.0"/>
        <n v="3418.0"/>
        <n v="3439.0"/>
        <n v="3338.0"/>
        <n v="2892.0"/>
        <n v="3313.0"/>
        <n v="3118.0"/>
        <n v="2966.0"/>
        <n v="3253.0"/>
        <n v="3032.0"/>
        <n v="4034.0"/>
        <n v="3264.0"/>
        <n v="2817.0"/>
        <n v="2507.0"/>
        <n v="446.0"/>
        <n v="1777.0"/>
        <n v="2453.0"/>
        <n v="1776.0"/>
        <n v="1870.0"/>
        <n v="1782.0"/>
        <n v="1978.0"/>
        <n v="2296.0"/>
        <n v="2484.0"/>
        <n v="2005.0"/>
        <n v="1778.0"/>
        <n v="2293.0"/>
        <n v="2259.0"/>
        <n v="1780.0"/>
        <n v="2360.0"/>
        <n v="1952.0"/>
        <n v="2101.0"/>
        <n v="2393.0"/>
        <n v="538.0"/>
        <n v="1958.0"/>
        <n v="2141.0"/>
        <n v="2129.0"/>
        <n v="2216.0"/>
        <n v="2178.0"/>
        <n v="2308.0"/>
        <n v="2201.0"/>
        <n v="2341.0"/>
        <n v="2236.0"/>
        <n v="1296.0"/>
        <n v="2032.0"/>
        <n v="2227.0"/>
        <n v="2133.0"/>
        <n v="2317.0"/>
        <n v="2217.0"/>
        <n v="2374.0"/>
        <n v="2335.0"/>
        <n v="2303.0"/>
        <n v="2210.0"/>
        <n v="2424.0"/>
        <n v="2297.0"/>
        <n v="745.0"/>
        <n v="1902.0"/>
        <n v="1680.0"/>
        <n v="1901.0"/>
        <n v="2078.0"/>
        <n v="1876.0"/>
        <n v="1853.0"/>
        <n v="2235.0"/>
        <n v="1882.0"/>
        <n v="1906.0"/>
        <n v="2149.0"/>
        <n v="722.0"/>
        <n v="2886.0"/>
        <n v="2915.0"/>
        <n v="2895.0"/>
        <n v="2923.0"/>
        <n v="3357.0"/>
        <n v="2931.0"/>
        <n v="2848.0"/>
        <n v="2943.0"/>
        <n v="2822.0"/>
        <n v="2981.0"/>
        <n v="3597.0"/>
        <n v="3224.0"/>
        <n v="2677.0"/>
        <n v="2142.0"/>
        <n v="1615.0"/>
        <n v="1481.0"/>
        <n v="1892.0"/>
        <n v="2086.0"/>
        <n v="2044.0"/>
        <n v="2249.0"/>
        <n v="2019.0"/>
        <n v="1692.0"/>
        <n v="1712.0"/>
        <n v="2065.0"/>
        <n v="633.0"/>
        <n v="3625.0"/>
        <n v="4430.0"/>
        <n v="3427.0"/>
        <n v="3492.0"/>
        <n v="3765.0"/>
        <n v="2775.0"/>
        <n v="2486.0"/>
        <n v="3817.0"/>
        <n v="3378.0"/>
        <n v="1511.0"/>
        <n v="2884.0"/>
        <n v="1496.0"/>
        <n v="2262.0"/>
        <n v="2445.0"/>
        <n v="2694.0"/>
        <n v="1903.0"/>
        <n v="2482.0"/>
        <n v="2617.0"/>
        <n v="2778.0"/>
        <n v="3119.0"/>
        <n v="2664.0"/>
        <n v="2060.0"/>
        <n v="735.0"/>
        <n v="2224.0"/>
        <n v="1849.0"/>
        <n v="1822.0"/>
        <n v="251.0"/>
        <n v="3065.0"/>
        <n v="2207.0"/>
        <n v="1977.0"/>
        <n v="1841.0"/>
        <n v="4286.0"/>
        <n v="3920.0"/>
        <n v="3856.0"/>
        <n v="2584.0"/>
        <n v="787.0"/>
        <n v="2244.0"/>
        <n v="2188.0"/>
        <n v="2014.0"/>
        <n v="2115.0"/>
        <n v="2055.0"/>
        <n v="2437.0"/>
        <n v="2158.0"/>
        <n v="2170.0"/>
        <n v="2231.0"/>
        <n v="2100.0"/>
        <n v="917.0"/>
        <n v="2573.0"/>
        <n v="2575.0"/>
        <n v="3086.0"/>
        <n v="2676.0"/>
        <n v="2840.0"/>
        <n v="2871.0"/>
        <n v="2613.0"/>
        <n v="2700.0"/>
        <n v="1023.0"/>
        <n v="2496.0"/>
        <n v="1641.0"/>
        <n v="1794.0"/>
        <n v="2421.0"/>
        <n v="2439.0"/>
        <n v="2233.0"/>
        <n v="2862.0"/>
        <n v="2752.0"/>
        <n v="2519.0"/>
        <n v="1799.0"/>
        <n v="2543.0"/>
        <n v="625.0"/>
        <n v="3377.0"/>
        <n v="3697.0"/>
        <n v="3209.0"/>
        <n v="3167.0"/>
        <n v="3122.0"/>
        <n v="3176.0"/>
        <n v="2790.0"/>
        <n v="2715.0"/>
        <n v="2684.0"/>
        <n v="3097.0"/>
        <n v="791.0"/>
        <n v="1429.0"/>
        <n v="1607.0"/>
        <n v="2162.0"/>
        <n v="1832.0"/>
        <n v="1657.0"/>
        <n v="1377.0"/>
        <n v="3669.0"/>
        <n v="2702.0"/>
        <n v="3304.0"/>
        <n v="4234.0"/>
        <n v="4128.0"/>
        <n v="3798.0"/>
        <n v="3839.0"/>
        <n v="3713.0"/>
        <n v="2606.0"/>
        <n v="2624.0"/>
        <n v="3775.0"/>
        <n v="2517.0"/>
        <n v="2400.0"/>
        <n v="2462.0"/>
        <n v="2786.0"/>
        <n v="2354.0"/>
        <n v="1814.0"/>
        <n v="2260.0"/>
        <n v="3004.0"/>
        <n v="2667.0"/>
        <n v="2229.0"/>
        <n v="2114.0"/>
        <n v="1961.0"/>
        <n v="1890.0"/>
        <n v="2253.0"/>
        <n v="1725.0"/>
        <n v="728.0"/>
        <n v="3527.0"/>
        <n v="4220.0"/>
        <n v="3864.0"/>
        <n v="3662.0"/>
        <n v="2834.0"/>
        <n v="4039.0"/>
        <n v="2947.0"/>
        <n v="4196.0"/>
        <n v="3841.0"/>
        <n v="4526.0"/>
        <n v="2820.0"/>
        <n v="938.0"/>
      </sharedItems>
    </cacheField>
    <cacheField name="DayNumber" numFmtId="0">
      <sharedItems containsSemiMixedTypes="0" containsString="0" containsNumber="1" containsInteger="1">
        <n v="5.0"/>
        <n v="6.0"/>
        <n v="7.0"/>
        <n v="1.0"/>
        <n v="2.0"/>
        <n v="3.0"/>
        <n v="4.0"/>
      </sharedItems>
    </cacheField>
    <cacheField name="DayofWeek" numFmtId="0">
      <sharedItems>
        <s v="Friday"/>
        <s v="Saturday"/>
        <s v="Sunday"/>
        <s v="Monday"/>
        <s v="Tuesday"/>
        <s v="Wednesday"/>
        <s v="Thursday"/>
      </sharedItems>
    </cacheField>
    <cacheField name="TotalActiveMinutes" numFmtId="0">
      <sharedItems containsSemiMixedTypes="0" containsString="0" containsNumber="1">
        <n v="14.2200002670288"/>
        <n v="23.1000003814698"/>
        <n v="17.05999946594238"/>
        <n v="17.86000061035156"/>
        <n v="15.69999980926514"/>
        <n v="14.31999969482422"/>
        <n v="15.7200002670288"/>
        <n v="15.73999977111816"/>
        <n v="14.5"/>
        <n v="12.73999977111816"/>
        <n v="19.60000038146972"/>
        <n v="19.45999908447266"/>
        <n v="15.3400001525879"/>
        <n v="12.88000011444092"/>
        <n v="15.88000011444092"/>
        <n v="16.20000076293946"/>
        <n v="13.96000003814698"/>
        <n v="14.52000045776368"/>
        <n v="0.280000001192092"/>
        <n v="2.35999989509582"/>
        <n v="1.059999942779542"/>
        <n v="2.57999992370606"/>
        <n v="2.48000001907348"/>
        <n v="2.01999998092652"/>
        <n v="2.1800000667572"/>
        <n v="5.8600001335144"/>
        <n v="11.97999954223632"/>
        <n v="3.77999997138978"/>
        <n v="24.0"/>
        <n v="1.740000009536744"/>
        <n v="1.299999952316284"/>
        <n v="1.440000057220458"/>
        <n v="8.23999977111816"/>
        <n v="4.6399998664856"/>
        <n v="5.07999992370606"/>
        <n v="13.0"/>
        <n v="8.61999988555908"/>
        <n v="6.82000017166138"/>
        <n v="29.420000076294"/>
        <n v="18.81999969482422"/>
        <n v="4.09999990463256"/>
        <n v="14.42000007629394"/>
        <n v="11.69999980926514"/>
        <n v="16.23999977111816"/>
        <n v="11.39999961853028"/>
        <n v="20.1200008392334"/>
        <n v="1.940000057220458"/>
        <n v="9.0600004196167"/>
        <n v="7.09999990463256"/>
        <n v="3.75999999046326"/>
        <n v="0.0"/>
        <n v="8.38000011444092"/>
        <n v="7.01999998092652"/>
        <n v="6.57999992370606"/>
        <n v="8.68000030517578"/>
        <n v="7.17999982833862"/>
        <n v="5.98000001907348"/>
        <n v="7.8400001525879"/>
        <n v="4.42000007629394"/>
        <n v="3.25999999046326"/>
        <n v="3.09999990463256"/>
        <n v="0.72000002861023"/>
        <n v="3.5"/>
        <n v="2.92000007629394"/>
        <n v="1.679999947547912"/>
        <n v="0.0399999991059304"/>
        <n v="19.20000076293946"/>
        <n v="7.67999982833862"/>
        <n v="15.64000034332276"/>
        <n v="22.0"/>
        <n v="15.18000030517578"/>
        <n v="21.8600006103516"/>
        <n v="27.6599998474122"/>
        <n v="18.52000045776368"/>
        <n v="25.1800003051758"/>
        <n v="14.03999996185302"/>
        <n v="14.18000030517578"/>
        <n v="9.4399995803833"/>
        <n v="3.24000000953674"/>
        <n v="1.519999980926514"/>
        <n v="2.85999989509582"/>
        <n v="8.2799997329712"/>
        <n v="7.0"/>
        <n v="3.94000005722046"/>
        <n v="3.44000005722046"/>
        <n v="4.6599998474121"/>
        <n v="3.83999991416932"/>
        <n v="6.38000011444092"/>
        <n v="4.05999994277954"/>
        <n v="1.259999990463256"/>
        <n v="6.6399998664856"/>
        <n v="4.59999990463256"/>
        <n v="6.55999994277954"/>
        <n v="3.05999994277954"/>
        <n v="2.8199999332428"/>
        <n v="13.57999992370606"/>
        <n v="14.19999980926514"/>
        <n v="8.9399995803833"/>
        <n v="11.02000045776368"/>
        <n v="20.4400005340576"/>
        <n v="9.89999961853028"/>
        <n v="13.60000038146972"/>
        <n v="13.64000034332276"/>
        <n v="14.68000030517578"/>
        <n v="13.69999980926514"/>
        <n v="13.5"/>
        <n v="21.2600002288818"/>
        <n v="13.6599998474121"/>
        <n v="13.2200002670288"/>
        <n v="1.200000047683716"/>
        <n v="2.98000001907348"/>
        <n v="10.26000022888184"/>
        <n v="13.0600004196167"/>
        <n v="11.3400001525879"/>
        <n v="9.88000011444092"/>
        <n v="12.61999988555908"/>
        <n v="9.61999988555908"/>
        <n v="19.1200008392334"/>
        <n v="10.07999992370606"/>
        <n v="4.82803201675415"/>
        <n v="6.4386880397796595"/>
        <n v="3.2193440198898298"/>
        <n v="7.90000009536744"/>
        <n v="10.46000003814698"/>
        <n v="6.42000007629394"/>
        <n v="8.03999996185302"/>
        <n v="6.07999992370606"/>
        <n v="8.7799997329712"/>
        <n v="10.19999980926514"/>
        <n v="7.57999992370606"/>
        <n v="12.5"/>
        <n v="6.3600001335144"/>
        <n v="6.01999998092652"/>
        <n v="15.39999961853028"/>
        <n v="15.97999954223632"/>
        <n v="16.45999908447266"/>
        <n v="20.6399993896484"/>
        <n v="11.26000022888184"/>
        <n v="13.68000030517578"/>
        <n v="19.52000045776368"/>
        <n v="4.78000020980834"/>
        <n v="4.28000020980834"/>
        <n v="1.139999985694886"/>
        <n v="7.94000005722046"/>
        <n v="4.61999988555908"/>
        <n v="4.3400001525879"/>
        <n v="8.46000003814698"/>
        <n v="17.97999954223632"/>
        <n v="12.81999969482422"/>
        <n v="0.519999980926514"/>
        <n v="8.18000030517578"/>
        <n v="14.81999969482422"/>
        <n v="12.57999992370606"/>
        <n v="9.5600004196167"/>
        <n v="9.03999996185302"/>
        <n v="7.98000001907348"/>
        <n v="6.26000022888184"/>
        <n v="10.23999977111816"/>
        <n v="3.01999998092652"/>
        <n v="5.96000003814698"/>
        <n v="7.73999977111816"/>
        <n v="10.6599998474121"/>
        <n v="6.19999980926514"/>
        <n v="8.76000022888184"/>
        <n v="9.19999980926514"/>
        <n v="9.85999965667724"/>
        <n v="10.7200002670288"/>
        <n v="15.02000045776368"/>
        <n v="11.10000038146972"/>
        <n v="7.3600001335144"/>
        <n v="4.30000019073486"/>
        <n v="0.01999999955296516"/>
        <n v="12.46000003814698"/>
        <n v="3.11999988555908"/>
        <n v="1.379999995231628"/>
        <n v="0.0599999986588954"/>
        <n v="3.88000011444092"/>
        <n v="10.68000030517578"/>
        <n v="3.35999989509582"/>
        <n v="7.51999998092652"/>
        <n v="8.625843171030287"/>
        <n v="12.31999969482422"/>
        <n v="2.42000007629394"/>
        <n v="5.01999998092652"/>
        <n v="9.96000003814698"/>
        <n v="12.14000034332276"/>
        <n v="10.92000007629394"/>
        <n v="12.53999996185302"/>
        <n v="11.31999969482422"/>
        <n v="11.03999996185302"/>
        <n v="13.52000045776368"/>
        <n v="14.69999980926514"/>
        <n v="12.30000019073486"/>
        <n v="8.81999969482422"/>
        <n v="3.48000001907348"/>
        <n v="6.44000005722046"/>
        <n v="4.38000011444092"/>
        <n v="7.26000022888184"/>
        <n v="4.21999979019166"/>
        <n v="5.67999982833862"/>
        <n v="9.2200002670288"/>
        <n v="7.44000005722046"/>
        <n v="5.61999988555908"/>
        <n v="8.89999961853028"/>
        <n v="8.26000022888184"/>
        <n v="0.379999995231628"/>
        <n v="7.05999994277954"/>
        <n v="4.19999980926514"/>
        <n v="8.1599998474121"/>
        <n v="10.8400001525879"/>
        <n v="8.97999954223632"/>
        <n v="7.5"/>
        <n v="10.57999992370606"/>
        <n v="5.53999996185302"/>
        <n v="7.28000020980834"/>
        <n v="11.68000030517578"/>
        <n v="1.659999966621398"/>
        <n v="10.5600004196167"/>
        <n v="11.30000019073486"/>
        <n v="11.61999988555908"/>
        <n v="16.76000022888184"/>
        <n v="19.6599998474121"/>
        <n v="12.7200002670288"/>
        <n v="10.81999969482422"/>
        <n v="12.35999965667724"/>
        <n v="13.2799997329712"/>
        <n v="22.7199993133544"/>
        <n v="18.05999946594238"/>
        <n v="10.53999996185302"/>
        <n v="1.980000019073486"/>
        <n v="11.76000022888184"/>
        <n v="14.76000022888184"/>
        <n v="16.0"/>
        <n v="20.1599998474122"/>
        <n v="12.97999954223632"/>
        <n v="6.0"/>
        <n v="7.30000019073486"/>
        <n v="15.53999996185302"/>
        <n v="4.48000001907348"/>
        <n v="22.2199993133544"/>
        <n v="11.11999988555908"/>
        <n v="13.39999961853028"/>
        <n v="16.60000038146972"/>
        <n v="6.71999979019166"/>
        <n v="6.51999998092652"/>
        <n v="15.68000030517578"/>
        <n v="11.23999977111816"/>
        <n v="29.6800003051758"/>
        <n v="12.7799997329712"/>
        <n v="14.96000003814698"/>
        <n v="18.73999977111816"/>
        <n v="7.32000017166138"/>
        <n v="16.29999923706054"/>
        <n v="10.02000045776368"/>
        <n v="14.4399995803833"/>
        <n v="4.05777287483215"/>
        <n v="15.017057180404672"/>
        <n v="0.259999990463256"/>
        <n v="10.35999965667724"/>
        <n v="2.25999999046326"/>
        <n v="16.86000061035156"/>
        <n v="20.0599994659424"/>
        <n v="5.92000007629394"/>
        <n v="20.4799995422364"/>
        <n v="18.63999938964844"/>
        <n v="16.2800006866455"/>
        <n v="25.6000003814698"/>
        <n v="21.08279466629029"/>
        <n v="20.44630146026611"/>
        <n v="25.85686445236204"/>
        <n v="16.52000045776368"/>
        <n v="13.42000007629394"/>
        <n v="19.956455230712894"/>
        <n v="7.80000019073486"/>
        <n v="21.77128314971924"/>
        <n v="22.4799995422364"/>
        <n v="26.799849510192928"/>
        <n v="22.05638027191161"/>
        <n v="24.155719757080078"/>
        <n v="24.88599014282231"/>
        <n v="22.94231939315796"/>
        <n v="13.8400001525879"/>
        <n v="15.599782943725579"/>
        <n v="2.61999988555908"/>
        <n v="9.97999954223632"/>
        <n v="9.46000003814698"/>
        <n v="21.6399993896484"/>
        <n v="13.03999996185302"/>
        <n v="9.3400001525879"/>
        <n v="0.699999988079072"/>
        <n v="31.2399997711182"/>
        <n v="40.2799987792968"/>
        <n v="26.420000076294"/>
        <n v="26.8199996948242"/>
        <n v="24.8400001525878"/>
        <n v="26.3999996185302"/>
        <n v="19.07999992370606"/>
        <n v="18.2800006866455"/>
        <n v="15.46000003814698"/>
        <n v="25.4400005340576"/>
        <n v="0.419999986886978"/>
        <n v="2.55999994277954"/>
        <n v="6.8400001525879"/>
        <n v="18.29999923706054"/>
        <n v="7.07999992370606"/>
        <n v="2.16000008583068"/>
        <n v="5.32000017166138"/>
        <n v="24.1921474933625"/>
        <n v="22.63308024406433"/>
        <n v="16.57214665412902"/>
        <n v="17.67308115959167"/>
        <n v="15.33214688301086"/>
        <n v="3.55999994277954"/>
        <n v="4.17999982833862"/>
        <n v="16.11214756965638"/>
        <n v="7.3930809497833305"/>
        <n v="3.40000009536744"/>
        <n v="5.46000003814698"/>
        <n v="3.72000002861022"/>
        <n v="4.92000007629394"/>
        <n v="3.27999997138978"/>
        <n v="4.40000009536744"/>
        <n v="2.20000004768372"/>
        <n v="5.88000011444092"/>
        <n v="9.26000022888184"/>
        <n v="4.90000009536744"/>
        <n v="2.72000002861022"/>
        <n v="1.879999995231628"/>
        <n v="5.90000009536744"/>
        <n v="0.219999998807908"/>
        <n v="31.6399993896484"/>
        <n v="46.7799987792968"/>
        <n v="16.3799991607666"/>
        <n v="36.8199996948242"/>
        <n v="41.8199996948242"/>
        <n v="16.8400001525879"/>
        <n v="40.7799987792968"/>
        <n v="16.13999938964844"/>
        <n v="55.060001373291"/>
        <n v="16.1200008392334"/>
      </sharedItems>
    </cacheField>
    <cacheField name="ActivityRate" numFmtId="10">
      <sharedItems containsSemiMixedTypes="0" containsString="0" containsNumber="1">
        <n v="0.04269449715370019"/>
        <n v="0.10950413223140495"/>
        <n v="0.06531049250535331"/>
        <n v="0.043286867204695524"/>
        <n v="0.05273069679849341"/>
        <n v="0.029861111111111113"/>
        <n v="0.04076086956521739"/>
        <n v="0.059964726631393295"/>
        <n v="0.05477980665950591"/>
        <n v="0.04437869822485207"/>
        <n v="0.05530371713508613"/>
        <n v="0.04774535809018567"/>
        <n v="0.027083333333333334"/>
        <n v="0.025694444444444443"/>
        <n v="0.04722222222222222"/>
        <n v="0.04549854791868345"/>
        <n v="0.059251559251559255"/>
        <n v="0.036003600360036005"/>
        <n v="0.0"/>
        <n v="0.007638888888888889"/>
        <n v="0.009722222222222222"/>
        <n v="0.011111111111111112"/>
        <n v="0.12152777777777778"/>
        <n v="0.052083333333333336"/>
        <n v="0.005555555555555556"/>
        <n v="0.027777777777777776"/>
        <n v="0.04097222222222222"/>
        <n v="0.04236111111111111"/>
        <n v="0.034722222222222224"/>
        <n v="0.06875"/>
        <n v="0.0125"/>
        <n v="0.010406811731315043"/>
        <n v="0.006460875807609476"/>
        <n v="0.06111111111111111"/>
        <n v="0.03263888888888889"/>
        <n v="0.05625"/>
        <n v="0.050694444444444445"/>
        <n v="0.06180555555555556"/>
        <n v="0.09305555555555556"/>
        <n v="0.03611111111111111"/>
        <n v="0.041666666666666664"/>
        <n v="0.016666666666666666"/>
        <n v="0.03958333333333333"/>
        <n v="0.06927710843373494"/>
        <n v="0.008333333333333333"/>
        <n v="0.06198347107438017"/>
        <n v="0.06047516198704104"/>
        <n v="0.03145853193517636"/>
        <n v="0.06857727737973388"/>
        <n v="0.05027322404371585"/>
        <n v="0.02721774193548387"/>
        <n v="0.059113300492610835"/>
        <n v="0.0344574780058651"/>
        <n v="0.007729468599033816"/>
        <n v="0.03382663847780127"/>
        <n v="0.019206145966709345"/>
        <n v="0.05475504322766571"/>
        <n v="0.020833333333333332"/>
        <n v="0.015277777777777777"/>
        <n v="0.0375"/>
        <n v="0.00625"/>
        <n v="0.4583333333333333"/>
        <n v="0.017361111111111112"/>
        <n v="0.01875"/>
        <n v="0.014583333333333334"/>
        <n v="0.01597222222222222"/>
        <n v="0.021527777777777778"/>
        <n v="0.028477546549835708"/>
        <n v="0.0052173913043478265"/>
        <n v="0.04717853839037928"/>
        <n v="0.055347091932457786"/>
        <n v="0.06079664570230608"/>
        <n v="0.06804733727810651"/>
        <n v="0.0782608695652174"/>
        <n v="0.10520833333333333"/>
        <n v="0.06947162426614481"/>
        <n v="0.02327935222672065"/>
        <n v="0.001951219512195122"/>
        <n v="0.009099181073703366"/>
        <n v="0.04118268215417107"/>
        <n v="0.05277777777777778"/>
        <n v="0.043515358361774746"/>
        <n v="0.03232323232323232"/>
        <n v="0.019313304721030045"/>
        <n v="0.029106029106029108"/>
        <n v="0.018055555555555554"/>
        <n v="0.022222222222222223"/>
        <n v="0.008784773060029283"/>
        <n v="0.019444444444444445"/>
        <n v="0.08472222222222223"/>
        <n v="0.012318029115341545"/>
        <n v="0.016632016632016633"/>
        <n v="0.01507537688442211"/>
        <n v="0.03556485355648536"/>
        <n v="0.021181716833890748"/>
        <n v="0.057176196032672114"/>
        <n v="0.047058823529411764"/>
        <n v="0.017598343685300208"/>
        <n v="0.06303418803418803"/>
        <n v="0.01818181818181818"/>
        <n v="0.007052186177715092"/>
        <n v="0.007415254237288136"/>
        <n v="0.030303030303030304"/>
        <n v="0.021331058020477817"/>
        <n v="0.02766798418972332"/>
        <n v="0.006878761822871883"/>
        <n v="0.02638888888888889"/>
        <n v="0.00891089108910891"/>
        <n v="0.016243654822335026"/>
        <n v="0.00932642487046632"/>
        <n v="0.036613272311212815"/>
        <n v="0.0702576112412178"/>
        <n v="0.033165829145728645"/>
        <n v="0.031"/>
        <n v="0.008298755186721992"/>
        <n v="0.014018691588785047"/>
        <n v="0.07511737089201878"/>
        <n v="0.02937853107344633"/>
        <n v="0.058333333333333334"/>
        <n v="0.03546099290780142"/>
        <n v="0.0625"/>
        <n v="0.05893719806763285"/>
        <n v="0.08458646616541353"/>
        <n v="0.060665362035225046"/>
        <n v="0.03967168262653899"/>
        <n v="0.060142711518858305"/>
        <n v="0.13953488372093023"/>
        <n v="0.1309164149043303"/>
        <n v="0.22580645161290322"/>
        <n v="0.08292682926829269"/>
        <n v="0.09063136456211812"/>
        <n v="0.12183235867446393"/>
        <n v="0.1323529411764706"/>
        <n v="0.04449152542372881"/>
        <n v="0.010214504596527068"/>
        <n v="0.2002164502164502"/>
        <n v="0.11523046092184369"/>
        <n v="0.1755485893416928"/>
        <n v="0.033880903490759756"/>
        <n v="0.009027777777777777"/>
        <n v="0.09166666666666666"/>
        <n v="0.022916666666666665"/>
        <n v="0.038910505836575876"/>
        <n v="0.03194444444444444"/>
        <n v="0.004166666666666667"/>
        <n v="0.05255781359495445"/>
        <n v="0.13125"/>
        <n v="0.1264131551901336"/>
        <n v="0.1392515230635335"/>
        <n v="0.09424603174603174"/>
        <n v="0.09001097694840834"/>
        <n v="0.05947136563876652"/>
        <n v="0.0721951219512195"/>
        <n v="0.07454128440366972"/>
        <n v="0.09393939393939393"/>
        <n v="0.05319148936170213"/>
        <n v="0.07356076759061833"/>
        <n v="0.060396039603960394"/>
        <n v="0.06171648987463838"/>
        <n v="0.05279187817258883"/>
        <n v="0.025717111770524232"/>
        <n v="0.05705996131528046"/>
        <n v="0.21138211382113822"/>
        <n v="0.01823486506199854"/>
        <n v="0.09875640087783467"/>
        <n v="0.06319444444444444"/>
        <n v="0.040875912408759124"/>
        <n v="0.05"/>
        <n v="0.06841339155749636"/>
        <n v="0.03125"/>
        <n v="0.11637080867850098"/>
        <n v="0.06806806806806807"/>
        <n v="0.03819444444444445"/>
        <n v="0.042994810971089696"/>
        <n v="0.03398558187435633"/>
        <n v="0.11422413793103449"/>
        <n v="0.09468599033816426"/>
        <n v="0.033578174186778595"/>
        <n v="0.07272727272727272"/>
        <n v="0.09930555555555555"/>
        <n v="0.13958333333333334"/>
        <n v="0.07222222222222222"/>
        <n v="0.07361111111111111"/>
        <n v="0.07916666666666666"/>
        <n v="0.07430555555555556"/>
        <n v="0.04583333333333333"/>
        <n v="0.04513888888888889"/>
        <n v="0.03333333333333333"/>
        <n v="0.025"/>
        <n v="0.09325396825396826"/>
        <n v="0.043132803632236094"/>
        <n v="0.12112112112112113"/>
        <n v="0.12761714855433698"/>
        <n v="0.05986261040235525"/>
        <n v="0.09947089947089947"/>
        <n v="0.07341092211280215"/>
        <n v="0.08394833948339483"/>
        <n v="0.21505376344086022"/>
        <n v="0.013888888888888888"/>
        <n v="0.01282051282051282"/>
        <n v="0.00866738894907909"/>
        <n v="0.010650887573964497"/>
        <n v="0.010721247563352826"/>
        <n v="0.010070493454179255"/>
        <n v="0.04861111111111111"/>
        <n v="0.09722222222222222"/>
        <n v="0.08541666666666667"/>
        <n v="0.06527777777777778"/>
        <n v="0.07152777777777777"/>
        <n v="0.12083333333333333"/>
      </sharedItems>
    </cacheField>
    <cacheField name="ActiviyLevelCategory" numFmtId="0">
      <sharedItems>
        <s v="High"/>
        <s v="Moderate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37" firstHeaderRow="0" firstDataRow="2" firstDataCol="0"/>
  <pivotFields>
    <pivotField name="Id" axis="axisRow" compact="0" outline="0" multipleItemSelectionAllowed="1" showAll="0" sortType="ascending">
      <items>
        <item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er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Fairl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ightl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t="default"/>
      </items>
    </pivotField>
  </pivotFields>
  <rowFields>
    <field x="0"/>
  </rowFields>
  <colFields>
    <field x="-2"/>
  </colFields>
  <dataFields>
    <dataField name="AVERAGE of VeryActiveMinutes" fld="10" subtotal="average" baseField="0"/>
    <dataField name="AVERAGE of FairlyActiveMinutes" fld="11" subtotal="average" baseField="0"/>
    <dataField name="AVERAGE of LightlyActiveMinutes" fld="12" subtotal="average" baseField="0"/>
    <dataField name="AVERAGE of TotalSteps" fld="2" subtotal="average" baseField="0"/>
    <dataField name="AVERAGE of Calories" fld="14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E10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Day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yofWeek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Activity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ActiviyLevel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6"/>
  </rowFields>
  <colFields>
    <field x="-2"/>
  </colFields>
  <dataFields>
    <dataField name="AVERAGE of TotalSteps" fld="2" subtotal="average" baseField="0"/>
    <dataField name="AVERAGE of TotalActiveMinutes" fld="17" subtotal="average" baseField="0"/>
    <dataField name="AVERAGE of ActivityRate" fld="18" subtotal="average" baseField="0"/>
    <dataField name="AVERAGE of Calories" fld="14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2" dataCaption="" compact="0" compactData="0">
  <location ref="A1:E5" firstHeaderRow="0" firstDataRow="2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er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t="default"/>
      </items>
    </pivotField>
    <pivotField name="Day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Activity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ActiviyLevelCategory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9"/>
  </rowFields>
  <colFields>
    <field x="-2"/>
  </colFields>
  <dataFields>
    <dataField name="COUNT of Id" fld="0" subtotal="countNums" baseField="0"/>
    <dataField name="AVERAGE of TotalSteps" fld="2" subtotal="average" baseField="0"/>
    <dataField name="AVERAGE of VeryActiveMinutes" fld="10" subtotal="average" baseField="0"/>
    <dataField name="AVERAGE of Calories" fld="1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5"/>
    <col customWidth="1" min="18" max="18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>
      <c r="A2" s="1">
        <v>1.503960366E9</v>
      </c>
      <c r="B2" s="3">
        <v>42454.0</v>
      </c>
      <c r="C2" s="1">
        <v>11004.0</v>
      </c>
      <c r="D2" s="1">
        <v>7.1100001335144</v>
      </c>
      <c r="E2" s="1">
        <v>7.1100001335144</v>
      </c>
      <c r="F2" s="1">
        <v>0.0</v>
      </c>
      <c r="G2" s="1">
        <v>2.5699999332428</v>
      </c>
      <c r="H2" s="1">
        <v>0.46000000834465</v>
      </c>
      <c r="I2" s="1">
        <v>4.07000017166138</v>
      </c>
      <c r="J2" s="1">
        <v>0.0</v>
      </c>
      <c r="K2" s="1">
        <v>33.0</v>
      </c>
      <c r="L2" s="1">
        <v>12.0</v>
      </c>
      <c r="M2" s="1">
        <v>205.0</v>
      </c>
      <c r="N2" s="1">
        <v>804.0</v>
      </c>
      <c r="O2" s="1">
        <v>1819.0</v>
      </c>
      <c r="P2" s="4">
        <f t="shared" ref="P2:P458" si="1">WEEKDAY(B2,2)</f>
        <v>5</v>
      </c>
      <c r="Q2" s="4" t="str">
        <f t="shared" ref="Q2:Q458" si="2">TEXT(B2,"dddd")</f>
        <v>Friday</v>
      </c>
      <c r="R2" s="4">
        <f t="shared" ref="R2:R458" si="3">D2+E2+F2</f>
        <v>14.22000027</v>
      </c>
      <c r="S2" s="2">
        <f t="shared" ref="S2:S458" si="4">((K2)+(L2))/(K2+L2+M2+N2)</f>
        <v>0.04269449715</v>
      </c>
      <c r="T2" s="4" t="str">
        <f t="shared" ref="T2:T458" si="5">IF(K2&gt;=30,"High", IF(K2&gt;=15,"Moderate","Low"))</f>
        <v>High</v>
      </c>
      <c r="U2" s="4">
        <f>COUNTIF(T:T,"High")</f>
        <v>98</v>
      </c>
    </row>
    <row r="3">
      <c r="A3" s="1">
        <v>1.503960366E9</v>
      </c>
      <c r="B3" s="3">
        <v>42455.0</v>
      </c>
      <c r="C3" s="1">
        <v>17609.0</v>
      </c>
      <c r="D3" s="1">
        <v>11.5500001907349</v>
      </c>
      <c r="E3" s="1">
        <v>11.5500001907349</v>
      </c>
      <c r="F3" s="1">
        <v>0.0</v>
      </c>
      <c r="G3" s="1">
        <v>6.92000007629395</v>
      </c>
      <c r="H3" s="1">
        <v>0.730000019073486</v>
      </c>
      <c r="I3" s="1">
        <v>3.91000008583069</v>
      </c>
      <c r="J3" s="1">
        <v>0.0</v>
      </c>
      <c r="K3" s="1">
        <v>89.0</v>
      </c>
      <c r="L3" s="1">
        <v>17.0</v>
      </c>
      <c r="M3" s="1">
        <v>274.0</v>
      </c>
      <c r="N3" s="1">
        <v>588.0</v>
      </c>
      <c r="O3" s="1">
        <v>2154.0</v>
      </c>
      <c r="P3" s="4">
        <f t="shared" si="1"/>
        <v>6</v>
      </c>
      <c r="Q3" s="4" t="str">
        <f t="shared" si="2"/>
        <v>Saturday</v>
      </c>
      <c r="R3" s="4">
        <f t="shared" si="3"/>
        <v>23.10000038</v>
      </c>
      <c r="S3" s="2">
        <f t="shared" si="4"/>
        <v>0.1095041322</v>
      </c>
      <c r="T3" s="4" t="str">
        <f t="shared" si="5"/>
        <v>High</v>
      </c>
      <c r="U3" s="4">
        <f>COUNTIF(T:T,"Moderate")</f>
        <v>51</v>
      </c>
    </row>
    <row r="4">
      <c r="A4" s="1">
        <v>1.503960366E9</v>
      </c>
      <c r="B4" s="3">
        <v>42456.0</v>
      </c>
      <c r="C4" s="1">
        <v>12736.0</v>
      </c>
      <c r="D4" s="1">
        <v>8.52999973297119</v>
      </c>
      <c r="E4" s="1">
        <v>8.52999973297119</v>
      </c>
      <c r="F4" s="1">
        <v>0.0</v>
      </c>
      <c r="G4" s="1">
        <v>4.65999984741211</v>
      </c>
      <c r="H4" s="1">
        <v>0.159999996423721</v>
      </c>
      <c r="I4" s="1">
        <v>3.71000003814697</v>
      </c>
      <c r="J4" s="1">
        <v>0.0</v>
      </c>
      <c r="K4" s="1">
        <v>56.0</v>
      </c>
      <c r="L4" s="1">
        <v>5.0</v>
      </c>
      <c r="M4" s="1">
        <v>268.0</v>
      </c>
      <c r="N4" s="1">
        <v>605.0</v>
      </c>
      <c r="O4" s="1">
        <v>1944.0</v>
      </c>
      <c r="P4" s="4">
        <f t="shared" si="1"/>
        <v>7</v>
      </c>
      <c r="Q4" s="4" t="str">
        <f t="shared" si="2"/>
        <v>Sunday</v>
      </c>
      <c r="R4" s="4">
        <f t="shared" si="3"/>
        <v>17.05999947</v>
      </c>
      <c r="S4" s="2">
        <f t="shared" si="4"/>
        <v>0.06531049251</v>
      </c>
      <c r="T4" s="4" t="str">
        <f t="shared" si="5"/>
        <v>High</v>
      </c>
      <c r="U4" s="4">
        <f>COUNTIF(T:T,"Low")</f>
        <v>308</v>
      </c>
    </row>
    <row r="5">
      <c r="A5" s="1">
        <v>1.503960366E9</v>
      </c>
      <c r="B5" s="3">
        <v>42457.0</v>
      </c>
      <c r="C5" s="1">
        <v>13231.0</v>
      </c>
      <c r="D5" s="1">
        <v>8.93000030517578</v>
      </c>
      <c r="E5" s="1">
        <v>8.93000030517578</v>
      </c>
      <c r="F5" s="1">
        <v>0.0</v>
      </c>
      <c r="G5" s="1">
        <v>3.19000005722046</v>
      </c>
      <c r="H5" s="1">
        <v>0.790000021457672</v>
      </c>
      <c r="I5" s="1">
        <v>4.94999980926514</v>
      </c>
      <c r="J5" s="1">
        <v>0.0</v>
      </c>
      <c r="K5" s="1">
        <v>39.0</v>
      </c>
      <c r="L5" s="1">
        <v>20.0</v>
      </c>
      <c r="M5" s="1">
        <v>224.0</v>
      </c>
      <c r="N5" s="1">
        <v>1080.0</v>
      </c>
      <c r="O5" s="1">
        <v>1932.0</v>
      </c>
      <c r="P5" s="4">
        <f t="shared" si="1"/>
        <v>1</v>
      </c>
      <c r="Q5" s="4" t="str">
        <f t="shared" si="2"/>
        <v>Monday</v>
      </c>
      <c r="R5" s="4">
        <f t="shared" si="3"/>
        <v>17.86000061</v>
      </c>
      <c r="S5" s="2">
        <f t="shared" si="4"/>
        <v>0.0432868672</v>
      </c>
      <c r="T5" s="4" t="str">
        <f t="shared" si="5"/>
        <v>High</v>
      </c>
      <c r="U5" s="4">
        <f>COUNTBLANK(T:T)</f>
        <v>542</v>
      </c>
    </row>
    <row r="6">
      <c r="A6" s="1">
        <v>1.503960366E9</v>
      </c>
      <c r="B6" s="3">
        <v>42458.0</v>
      </c>
      <c r="C6" s="1">
        <v>12041.0</v>
      </c>
      <c r="D6" s="1">
        <v>7.84999990463257</v>
      </c>
      <c r="E6" s="1">
        <v>7.84999990463257</v>
      </c>
      <c r="F6" s="1">
        <v>0.0</v>
      </c>
      <c r="G6" s="1">
        <v>2.16000008583069</v>
      </c>
      <c r="H6" s="1">
        <v>1.0900000333786</v>
      </c>
      <c r="I6" s="1">
        <v>4.6100001335144</v>
      </c>
      <c r="J6" s="1">
        <v>0.0</v>
      </c>
      <c r="K6" s="1">
        <v>28.0</v>
      </c>
      <c r="L6" s="1">
        <v>28.0</v>
      </c>
      <c r="M6" s="1">
        <v>243.0</v>
      </c>
      <c r="N6" s="1">
        <v>763.0</v>
      </c>
      <c r="O6" s="1">
        <v>1886.0</v>
      </c>
      <c r="P6" s="4">
        <f t="shared" si="1"/>
        <v>2</v>
      </c>
      <c r="Q6" s="4" t="str">
        <f t="shared" si="2"/>
        <v>Tuesday</v>
      </c>
      <c r="R6" s="4">
        <f t="shared" si="3"/>
        <v>15.69999981</v>
      </c>
      <c r="S6" s="2">
        <f t="shared" si="4"/>
        <v>0.0527306968</v>
      </c>
      <c r="T6" s="4" t="str">
        <f t="shared" si="5"/>
        <v>Moderate</v>
      </c>
    </row>
    <row r="7">
      <c r="A7" s="1">
        <v>1.503960366E9</v>
      </c>
      <c r="B7" s="3">
        <v>42459.0</v>
      </c>
      <c r="C7" s="1">
        <v>10970.0</v>
      </c>
      <c r="D7" s="1">
        <v>7.15999984741211</v>
      </c>
      <c r="E7" s="1">
        <v>7.15999984741211</v>
      </c>
      <c r="F7" s="1">
        <v>0.0</v>
      </c>
      <c r="G7" s="1">
        <v>2.35999989509583</v>
      </c>
      <c r="H7" s="1">
        <v>0.509999990463257</v>
      </c>
      <c r="I7" s="1">
        <v>4.28999996185303</v>
      </c>
      <c r="J7" s="1">
        <v>0.0</v>
      </c>
      <c r="K7" s="1">
        <v>30.0</v>
      </c>
      <c r="L7" s="1">
        <v>13.0</v>
      </c>
      <c r="M7" s="1">
        <v>223.0</v>
      </c>
      <c r="N7" s="1">
        <v>1174.0</v>
      </c>
      <c r="O7" s="1">
        <v>1820.0</v>
      </c>
      <c r="P7" s="4">
        <f t="shared" si="1"/>
        <v>3</v>
      </c>
      <c r="Q7" s="4" t="str">
        <f t="shared" si="2"/>
        <v>Wednesday</v>
      </c>
      <c r="R7" s="4">
        <f t="shared" si="3"/>
        <v>14.31999969</v>
      </c>
      <c r="S7" s="2">
        <f t="shared" si="4"/>
        <v>0.02986111111</v>
      </c>
      <c r="T7" s="4" t="str">
        <f t="shared" si="5"/>
        <v>High</v>
      </c>
    </row>
    <row r="8">
      <c r="A8" s="1">
        <v>1.503960366E9</v>
      </c>
      <c r="B8" s="3">
        <v>42460.0</v>
      </c>
      <c r="C8" s="1">
        <v>12256.0</v>
      </c>
      <c r="D8" s="1">
        <v>7.8600001335144</v>
      </c>
      <c r="E8" s="1">
        <v>7.8600001335144</v>
      </c>
      <c r="F8" s="1">
        <v>0.0</v>
      </c>
      <c r="G8" s="1">
        <v>2.28999996185303</v>
      </c>
      <c r="H8" s="1">
        <v>0.490000009536743</v>
      </c>
      <c r="I8" s="1">
        <v>5.03999996185303</v>
      </c>
      <c r="J8" s="1">
        <v>0.0</v>
      </c>
      <c r="K8" s="1">
        <v>33.0</v>
      </c>
      <c r="L8" s="1">
        <v>12.0</v>
      </c>
      <c r="M8" s="1">
        <v>239.0</v>
      </c>
      <c r="N8" s="1">
        <v>820.0</v>
      </c>
      <c r="O8" s="1">
        <v>1889.0</v>
      </c>
      <c r="P8" s="4">
        <f t="shared" si="1"/>
        <v>4</v>
      </c>
      <c r="Q8" s="4" t="str">
        <f t="shared" si="2"/>
        <v>Thursday</v>
      </c>
      <c r="R8" s="4">
        <f t="shared" si="3"/>
        <v>15.72000027</v>
      </c>
      <c r="S8" s="2">
        <f t="shared" si="4"/>
        <v>0.04076086957</v>
      </c>
      <c r="T8" s="4" t="str">
        <f t="shared" si="5"/>
        <v>High</v>
      </c>
    </row>
    <row r="9">
      <c r="A9" s="1">
        <v>1.503960366E9</v>
      </c>
      <c r="B9" s="3">
        <v>42461.0</v>
      </c>
      <c r="C9" s="1">
        <v>12262.0</v>
      </c>
      <c r="D9" s="1">
        <v>7.86999988555908</v>
      </c>
      <c r="E9" s="1">
        <v>7.86999988555908</v>
      </c>
      <c r="F9" s="1">
        <v>0.0</v>
      </c>
      <c r="G9" s="1">
        <v>3.3199999332428</v>
      </c>
      <c r="H9" s="1">
        <v>0.829999983310699</v>
      </c>
      <c r="I9" s="1">
        <v>3.64000010490417</v>
      </c>
      <c r="J9" s="1">
        <v>0.0</v>
      </c>
      <c r="K9" s="1">
        <v>47.0</v>
      </c>
      <c r="L9" s="1">
        <v>21.0</v>
      </c>
      <c r="M9" s="1">
        <v>200.0</v>
      </c>
      <c r="N9" s="1">
        <v>866.0</v>
      </c>
      <c r="O9" s="1">
        <v>1868.0</v>
      </c>
      <c r="P9" s="4">
        <f t="shared" si="1"/>
        <v>5</v>
      </c>
      <c r="Q9" s="4" t="str">
        <f t="shared" si="2"/>
        <v>Friday</v>
      </c>
      <c r="R9" s="4">
        <f t="shared" si="3"/>
        <v>15.73999977</v>
      </c>
      <c r="S9" s="2">
        <f t="shared" si="4"/>
        <v>0.05996472663</v>
      </c>
      <c r="T9" s="4" t="str">
        <f t="shared" si="5"/>
        <v>High</v>
      </c>
    </row>
    <row r="10">
      <c r="A10" s="1">
        <v>1.503960366E9</v>
      </c>
      <c r="B10" s="3">
        <v>42462.0</v>
      </c>
      <c r="C10" s="1">
        <v>11248.0</v>
      </c>
      <c r="D10" s="1">
        <v>7.25</v>
      </c>
      <c r="E10" s="1">
        <v>7.25</v>
      </c>
      <c r="F10" s="1">
        <v>0.0</v>
      </c>
      <c r="G10" s="1">
        <v>3.0</v>
      </c>
      <c r="H10" s="1">
        <v>0.449999988079071</v>
      </c>
      <c r="I10" s="1">
        <v>3.74000000953674</v>
      </c>
      <c r="J10" s="1">
        <v>0.0</v>
      </c>
      <c r="K10" s="1">
        <v>40.0</v>
      </c>
      <c r="L10" s="1">
        <v>11.0</v>
      </c>
      <c r="M10" s="1">
        <v>244.0</v>
      </c>
      <c r="N10" s="1">
        <v>636.0</v>
      </c>
      <c r="O10" s="1">
        <v>1843.0</v>
      </c>
      <c r="P10" s="4">
        <f t="shared" si="1"/>
        <v>6</v>
      </c>
      <c r="Q10" s="4" t="str">
        <f t="shared" si="2"/>
        <v>Saturday</v>
      </c>
      <c r="R10" s="4">
        <f t="shared" si="3"/>
        <v>14.5</v>
      </c>
      <c r="S10" s="2">
        <f t="shared" si="4"/>
        <v>0.05477980666</v>
      </c>
      <c r="T10" s="4" t="str">
        <f t="shared" si="5"/>
        <v>High</v>
      </c>
    </row>
    <row r="11">
      <c r="A11" s="1">
        <v>1.503960366E9</v>
      </c>
      <c r="B11" s="3">
        <v>42463.0</v>
      </c>
      <c r="C11" s="1">
        <v>10016.0</v>
      </c>
      <c r="D11" s="1">
        <v>6.36999988555908</v>
      </c>
      <c r="E11" s="1">
        <v>6.36999988555908</v>
      </c>
      <c r="F11" s="1">
        <v>0.0</v>
      </c>
      <c r="G11" s="1">
        <v>0.910000026226044</v>
      </c>
      <c r="H11" s="1">
        <v>1.27999997138977</v>
      </c>
      <c r="I11" s="1">
        <v>4.17999982833862</v>
      </c>
      <c r="J11" s="1">
        <v>0.0</v>
      </c>
      <c r="K11" s="1">
        <v>15.0</v>
      </c>
      <c r="L11" s="1">
        <v>30.0</v>
      </c>
      <c r="M11" s="1">
        <v>314.0</v>
      </c>
      <c r="N11" s="1">
        <v>655.0</v>
      </c>
      <c r="O11" s="1">
        <v>1850.0</v>
      </c>
      <c r="P11" s="4">
        <f t="shared" si="1"/>
        <v>7</v>
      </c>
      <c r="Q11" s="4" t="str">
        <f t="shared" si="2"/>
        <v>Sunday</v>
      </c>
      <c r="R11" s="4">
        <f t="shared" si="3"/>
        <v>12.73999977</v>
      </c>
      <c r="S11" s="2">
        <f t="shared" si="4"/>
        <v>0.04437869822</v>
      </c>
      <c r="T11" s="4" t="str">
        <f t="shared" si="5"/>
        <v>Moderate</v>
      </c>
    </row>
    <row r="12">
      <c r="A12" s="1">
        <v>1.503960366E9</v>
      </c>
      <c r="B12" s="3">
        <v>42464.0</v>
      </c>
      <c r="C12" s="1">
        <v>14557.0</v>
      </c>
      <c r="D12" s="1">
        <v>9.80000019073486</v>
      </c>
      <c r="E12" s="1">
        <v>9.80000019073486</v>
      </c>
      <c r="F12" s="1">
        <v>0.0</v>
      </c>
      <c r="G12" s="1">
        <v>3.39000010490417</v>
      </c>
      <c r="H12" s="1">
        <v>0.699999988079071</v>
      </c>
      <c r="I12" s="1">
        <v>5.69000005722046</v>
      </c>
      <c r="J12" s="1">
        <v>0.0</v>
      </c>
      <c r="K12" s="1">
        <v>43.0</v>
      </c>
      <c r="L12" s="1">
        <v>18.0</v>
      </c>
      <c r="M12" s="1">
        <v>285.0</v>
      </c>
      <c r="N12" s="1">
        <v>757.0</v>
      </c>
      <c r="O12" s="1">
        <v>2030.0</v>
      </c>
      <c r="P12" s="4">
        <f t="shared" si="1"/>
        <v>1</v>
      </c>
      <c r="Q12" s="4" t="str">
        <f t="shared" si="2"/>
        <v>Monday</v>
      </c>
      <c r="R12" s="4">
        <f t="shared" si="3"/>
        <v>19.60000038</v>
      </c>
      <c r="S12" s="2">
        <f t="shared" si="4"/>
        <v>0.05530371714</v>
      </c>
      <c r="T12" s="4" t="str">
        <f t="shared" si="5"/>
        <v>High</v>
      </c>
    </row>
    <row r="13">
      <c r="A13" s="1">
        <v>1.503960366E9</v>
      </c>
      <c r="B13" s="3">
        <v>42465.0</v>
      </c>
      <c r="C13" s="1">
        <v>14844.0</v>
      </c>
      <c r="D13" s="1">
        <v>9.72999954223633</v>
      </c>
      <c r="E13" s="1">
        <v>9.72999954223633</v>
      </c>
      <c r="F13" s="1">
        <v>0.0</v>
      </c>
      <c r="G13" s="1">
        <v>2.94000005722046</v>
      </c>
      <c r="H13" s="1">
        <v>0.759999990463257</v>
      </c>
      <c r="I13" s="1">
        <v>6.03999996185303</v>
      </c>
      <c r="J13" s="1">
        <v>0.0</v>
      </c>
      <c r="K13" s="1">
        <v>36.0</v>
      </c>
      <c r="L13" s="1">
        <v>18.0</v>
      </c>
      <c r="M13" s="1">
        <v>341.0</v>
      </c>
      <c r="N13" s="1">
        <v>736.0</v>
      </c>
      <c r="O13" s="1">
        <v>2083.0</v>
      </c>
      <c r="P13" s="4">
        <f t="shared" si="1"/>
        <v>2</v>
      </c>
      <c r="Q13" s="4" t="str">
        <f t="shared" si="2"/>
        <v>Tuesday</v>
      </c>
      <c r="R13" s="4">
        <f t="shared" si="3"/>
        <v>19.45999908</v>
      </c>
      <c r="S13" s="2">
        <f t="shared" si="4"/>
        <v>0.04774535809</v>
      </c>
      <c r="T13" s="4" t="str">
        <f t="shared" si="5"/>
        <v>High</v>
      </c>
    </row>
    <row r="14">
      <c r="A14" s="1">
        <v>1.503960366E9</v>
      </c>
      <c r="B14" s="3">
        <v>42466.0</v>
      </c>
      <c r="C14" s="1">
        <v>11974.0</v>
      </c>
      <c r="D14" s="1">
        <v>7.67000007629395</v>
      </c>
      <c r="E14" s="1">
        <v>7.67000007629395</v>
      </c>
      <c r="F14" s="1">
        <v>0.0</v>
      </c>
      <c r="G14" s="1">
        <v>2.03999996185303</v>
      </c>
      <c r="H14" s="1">
        <v>0.479999989271164</v>
      </c>
      <c r="I14" s="1">
        <v>5.15000009536743</v>
      </c>
      <c r="J14" s="1">
        <v>0.0</v>
      </c>
      <c r="K14" s="1">
        <v>27.0</v>
      </c>
      <c r="L14" s="1">
        <v>12.0</v>
      </c>
      <c r="M14" s="1">
        <v>228.0</v>
      </c>
      <c r="N14" s="1">
        <v>1173.0</v>
      </c>
      <c r="O14" s="1">
        <v>1861.0</v>
      </c>
      <c r="P14" s="4">
        <f t="shared" si="1"/>
        <v>3</v>
      </c>
      <c r="Q14" s="4" t="str">
        <f t="shared" si="2"/>
        <v>Wednesday</v>
      </c>
      <c r="R14" s="4">
        <f t="shared" si="3"/>
        <v>15.34000015</v>
      </c>
      <c r="S14" s="2">
        <f t="shared" si="4"/>
        <v>0.02708333333</v>
      </c>
      <c r="T14" s="4" t="str">
        <f t="shared" si="5"/>
        <v>Moderate</v>
      </c>
    </row>
    <row r="15">
      <c r="A15" s="1">
        <v>1.503960366E9</v>
      </c>
      <c r="B15" s="3">
        <v>42467.0</v>
      </c>
      <c r="C15" s="1">
        <v>10198.0</v>
      </c>
      <c r="D15" s="1">
        <v>6.44000005722046</v>
      </c>
      <c r="E15" s="1">
        <v>6.44000005722046</v>
      </c>
      <c r="F15" s="1">
        <v>0.0</v>
      </c>
      <c r="G15" s="1">
        <v>1.20000004768372</v>
      </c>
      <c r="H15" s="1">
        <v>0.790000021457672</v>
      </c>
      <c r="I15" s="1">
        <v>4.44999980926514</v>
      </c>
      <c r="J15" s="1">
        <v>0.0</v>
      </c>
      <c r="K15" s="1">
        <v>17.0</v>
      </c>
      <c r="L15" s="1">
        <v>20.0</v>
      </c>
      <c r="M15" s="1">
        <v>195.0</v>
      </c>
      <c r="N15" s="1">
        <v>1208.0</v>
      </c>
      <c r="O15" s="1">
        <v>1755.0</v>
      </c>
      <c r="P15" s="4">
        <f t="shared" si="1"/>
        <v>4</v>
      </c>
      <c r="Q15" s="4" t="str">
        <f t="shared" si="2"/>
        <v>Thursday</v>
      </c>
      <c r="R15" s="4">
        <f t="shared" si="3"/>
        <v>12.88000011</v>
      </c>
      <c r="S15" s="2">
        <f t="shared" si="4"/>
        <v>0.02569444444</v>
      </c>
      <c r="T15" s="4" t="str">
        <f t="shared" si="5"/>
        <v>Moderate</v>
      </c>
    </row>
    <row r="16">
      <c r="A16" s="1">
        <v>1.503960366E9</v>
      </c>
      <c r="B16" s="3">
        <v>42468.0</v>
      </c>
      <c r="C16" s="1">
        <v>12521.0</v>
      </c>
      <c r="D16" s="1">
        <v>7.94000005722046</v>
      </c>
      <c r="E16" s="1">
        <v>7.94000005722046</v>
      </c>
      <c r="F16" s="1">
        <v>0.0</v>
      </c>
      <c r="G16" s="1">
        <v>3.30999994277954</v>
      </c>
      <c r="H16" s="1">
        <v>0.899999976158142</v>
      </c>
      <c r="I16" s="1">
        <v>3.74000000953674</v>
      </c>
      <c r="J16" s="1">
        <v>0.0</v>
      </c>
      <c r="K16" s="1">
        <v>46.0</v>
      </c>
      <c r="L16" s="1">
        <v>22.0</v>
      </c>
      <c r="M16" s="1">
        <v>212.0</v>
      </c>
      <c r="N16" s="1">
        <v>1160.0</v>
      </c>
      <c r="O16" s="1">
        <v>1895.0</v>
      </c>
      <c r="P16" s="4">
        <f t="shared" si="1"/>
        <v>5</v>
      </c>
      <c r="Q16" s="4" t="str">
        <f t="shared" si="2"/>
        <v>Friday</v>
      </c>
      <c r="R16" s="4">
        <f t="shared" si="3"/>
        <v>15.88000011</v>
      </c>
      <c r="S16" s="2">
        <f t="shared" si="4"/>
        <v>0.04722222222</v>
      </c>
      <c r="T16" s="4" t="str">
        <f t="shared" si="5"/>
        <v>High</v>
      </c>
    </row>
    <row r="17">
      <c r="A17" s="1">
        <v>1.503960366E9</v>
      </c>
      <c r="B17" s="3">
        <v>42469.0</v>
      </c>
      <c r="C17" s="1">
        <v>12432.0</v>
      </c>
      <c r="D17" s="1">
        <v>8.10000038146973</v>
      </c>
      <c r="E17" s="1">
        <v>8.10000038146973</v>
      </c>
      <c r="F17" s="1">
        <v>0.0</v>
      </c>
      <c r="G17" s="1">
        <v>2.58999991416931</v>
      </c>
      <c r="H17" s="1">
        <v>0.589999973773956</v>
      </c>
      <c r="I17" s="1">
        <v>4.92000007629395</v>
      </c>
      <c r="J17" s="1">
        <v>0.0</v>
      </c>
      <c r="K17" s="1">
        <v>32.0</v>
      </c>
      <c r="L17" s="1">
        <v>15.0</v>
      </c>
      <c r="M17" s="1">
        <v>248.0</v>
      </c>
      <c r="N17" s="1">
        <v>738.0</v>
      </c>
      <c r="O17" s="1">
        <v>1883.0</v>
      </c>
      <c r="P17" s="4">
        <f t="shared" si="1"/>
        <v>6</v>
      </c>
      <c r="Q17" s="4" t="str">
        <f t="shared" si="2"/>
        <v>Saturday</v>
      </c>
      <c r="R17" s="4">
        <f t="shared" si="3"/>
        <v>16.20000076</v>
      </c>
      <c r="S17" s="2">
        <f t="shared" si="4"/>
        <v>0.04549854792</v>
      </c>
      <c r="T17" s="4" t="str">
        <f t="shared" si="5"/>
        <v>High</v>
      </c>
    </row>
    <row r="18">
      <c r="A18" s="1">
        <v>1.503960366E9</v>
      </c>
      <c r="B18" s="3">
        <v>42470.0</v>
      </c>
      <c r="C18" s="1">
        <v>10057.0</v>
      </c>
      <c r="D18" s="1">
        <v>6.98000001907349</v>
      </c>
      <c r="E18" s="1">
        <v>6.98000001907349</v>
      </c>
      <c r="F18" s="1">
        <v>0.0</v>
      </c>
      <c r="G18" s="1">
        <v>4.0</v>
      </c>
      <c r="H18" s="1">
        <v>0.490000009536743</v>
      </c>
      <c r="I18" s="1">
        <v>2.48000001907349</v>
      </c>
      <c r="J18" s="1">
        <v>0.0</v>
      </c>
      <c r="K18" s="1">
        <v>44.0</v>
      </c>
      <c r="L18" s="1">
        <v>13.0</v>
      </c>
      <c r="M18" s="1">
        <v>168.0</v>
      </c>
      <c r="N18" s="1">
        <v>737.0</v>
      </c>
      <c r="O18" s="1">
        <v>1755.0</v>
      </c>
      <c r="P18" s="4">
        <f t="shared" si="1"/>
        <v>7</v>
      </c>
      <c r="Q18" s="4" t="str">
        <f t="shared" si="2"/>
        <v>Sunday</v>
      </c>
      <c r="R18" s="4">
        <f t="shared" si="3"/>
        <v>13.96000004</v>
      </c>
      <c r="S18" s="2">
        <f t="shared" si="4"/>
        <v>0.05925155925</v>
      </c>
      <c r="T18" s="4" t="str">
        <f t="shared" si="5"/>
        <v>High</v>
      </c>
    </row>
    <row r="19">
      <c r="A19" s="1">
        <v>1.503960366E9</v>
      </c>
      <c r="B19" s="3">
        <v>42471.0</v>
      </c>
      <c r="C19" s="1">
        <v>10990.0</v>
      </c>
      <c r="D19" s="1">
        <v>7.26000022888184</v>
      </c>
      <c r="E19" s="1">
        <v>7.26000022888184</v>
      </c>
      <c r="F19" s="1">
        <v>0.0</v>
      </c>
      <c r="G19" s="1">
        <v>2.03999996185303</v>
      </c>
      <c r="H19" s="1">
        <v>0.569999992847443</v>
      </c>
      <c r="I19" s="1">
        <v>4.65000009536743</v>
      </c>
      <c r="J19" s="1">
        <v>0.0</v>
      </c>
      <c r="K19" s="1">
        <v>26.0</v>
      </c>
      <c r="L19" s="1">
        <v>14.0</v>
      </c>
      <c r="M19" s="1">
        <v>216.0</v>
      </c>
      <c r="N19" s="1">
        <v>855.0</v>
      </c>
      <c r="O19" s="1">
        <v>1811.0</v>
      </c>
      <c r="P19" s="4">
        <f t="shared" si="1"/>
        <v>1</v>
      </c>
      <c r="Q19" s="4" t="str">
        <f t="shared" si="2"/>
        <v>Monday</v>
      </c>
      <c r="R19" s="4">
        <f t="shared" si="3"/>
        <v>14.52000046</v>
      </c>
      <c r="S19" s="2">
        <f t="shared" si="4"/>
        <v>0.03600360036</v>
      </c>
      <c r="T19" s="4" t="str">
        <f t="shared" si="5"/>
        <v>Moderate</v>
      </c>
    </row>
    <row r="20">
      <c r="A20" s="1">
        <v>1.503960366E9</v>
      </c>
      <c r="B20" s="3">
        <v>42472.0</v>
      </c>
      <c r="C20" s="1">
        <v>224.0</v>
      </c>
      <c r="D20" s="1">
        <v>0.140000000596046</v>
      </c>
      <c r="E20" s="1">
        <v>0.140000000596046</v>
      </c>
      <c r="F20" s="1">
        <v>0.0</v>
      </c>
      <c r="G20" s="1">
        <v>0.0</v>
      </c>
      <c r="H20" s="1">
        <v>0.0</v>
      </c>
      <c r="I20" s="1">
        <v>0.129999995231628</v>
      </c>
      <c r="J20" s="1">
        <v>0.0</v>
      </c>
      <c r="K20" s="1">
        <v>0.0</v>
      </c>
      <c r="L20" s="1">
        <v>0.0</v>
      </c>
      <c r="M20" s="1">
        <v>9.0</v>
      </c>
      <c r="N20" s="1">
        <v>32.0</v>
      </c>
      <c r="O20" s="1">
        <v>50.0</v>
      </c>
      <c r="P20" s="4">
        <f t="shared" si="1"/>
        <v>2</v>
      </c>
      <c r="Q20" s="4" t="str">
        <f t="shared" si="2"/>
        <v>Tuesday</v>
      </c>
      <c r="R20" s="4">
        <f t="shared" si="3"/>
        <v>0.2800000012</v>
      </c>
      <c r="S20" s="2">
        <f t="shared" si="4"/>
        <v>0</v>
      </c>
      <c r="T20" s="4" t="str">
        <f t="shared" si="5"/>
        <v>Low</v>
      </c>
    </row>
    <row r="21">
      <c r="A21" s="1">
        <v>1.624580081E9</v>
      </c>
      <c r="B21" s="3">
        <v>42454.0</v>
      </c>
      <c r="C21" s="1">
        <v>1810.0</v>
      </c>
      <c r="D21" s="1">
        <v>1.17999994754791</v>
      </c>
      <c r="E21" s="1">
        <v>1.17999994754791</v>
      </c>
      <c r="F21" s="1">
        <v>0.0</v>
      </c>
      <c r="G21" s="1">
        <v>0.0</v>
      </c>
      <c r="H21" s="1">
        <v>0.0</v>
      </c>
      <c r="I21" s="1">
        <v>1.12999999523163</v>
      </c>
      <c r="J21" s="1">
        <v>0.00999999977648258</v>
      </c>
      <c r="K21" s="1">
        <v>0.0</v>
      </c>
      <c r="L21" s="1">
        <v>0.0</v>
      </c>
      <c r="M21" s="1">
        <v>121.0</v>
      </c>
      <c r="N21" s="1">
        <v>1319.0</v>
      </c>
      <c r="O21" s="1">
        <v>1373.0</v>
      </c>
      <c r="P21" s="4">
        <f t="shared" si="1"/>
        <v>5</v>
      </c>
      <c r="Q21" s="4" t="str">
        <f t="shared" si="2"/>
        <v>Friday</v>
      </c>
      <c r="R21" s="4">
        <f t="shared" si="3"/>
        <v>2.359999895</v>
      </c>
      <c r="S21" s="2">
        <f t="shared" si="4"/>
        <v>0</v>
      </c>
      <c r="T21" s="4" t="str">
        <f t="shared" si="5"/>
        <v>Low</v>
      </c>
    </row>
    <row r="22">
      <c r="A22" s="1">
        <v>1.624580081E9</v>
      </c>
      <c r="B22" s="3">
        <v>42455.0</v>
      </c>
      <c r="C22" s="1">
        <v>815.0</v>
      </c>
      <c r="D22" s="1">
        <v>0.529999971389771</v>
      </c>
      <c r="E22" s="1">
        <v>0.529999971389771</v>
      </c>
      <c r="F22" s="1">
        <v>0.0</v>
      </c>
      <c r="G22" s="1">
        <v>0.0</v>
      </c>
      <c r="H22" s="1">
        <v>0.0</v>
      </c>
      <c r="I22" s="1">
        <v>0.529999971389771</v>
      </c>
      <c r="J22" s="1">
        <v>0.0</v>
      </c>
      <c r="K22" s="1">
        <v>0.0</v>
      </c>
      <c r="L22" s="1">
        <v>0.0</v>
      </c>
      <c r="M22" s="1">
        <v>47.0</v>
      </c>
      <c r="N22" s="1">
        <v>1393.0</v>
      </c>
      <c r="O22" s="1">
        <v>1264.0</v>
      </c>
      <c r="P22" s="4">
        <f t="shared" si="1"/>
        <v>6</v>
      </c>
      <c r="Q22" s="4" t="str">
        <f t="shared" si="2"/>
        <v>Saturday</v>
      </c>
      <c r="R22" s="4">
        <f t="shared" si="3"/>
        <v>1.059999943</v>
      </c>
      <c r="S22" s="2">
        <f t="shared" si="4"/>
        <v>0</v>
      </c>
      <c r="T22" s="4" t="str">
        <f t="shared" si="5"/>
        <v>Low</v>
      </c>
    </row>
    <row r="23">
      <c r="A23" s="1">
        <v>1.624580081E9</v>
      </c>
      <c r="B23" s="3">
        <v>42456.0</v>
      </c>
      <c r="C23" s="1">
        <v>1985.0</v>
      </c>
      <c r="D23" s="1">
        <v>1.28999996185303</v>
      </c>
      <c r="E23" s="1">
        <v>1.28999996185303</v>
      </c>
      <c r="F23" s="1">
        <v>0.0</v>
      </c>
      <c r="G23" s="1">
        <v>0.0</v>
      </c>
      <c r="H23" s="1">
        <v>0.0</v>
      </c>
      <c r="I23" s="1">
        <v>1.27999997138977</v>
      </c>
      <c r="J23" s="1">
        <v>0.00999999977648258</v>
      </c>
      <c r="K23" s="1">
        <v>0.0</v>
      </c>
      <c r="L23" s="1">
        <v>0.0</v>
      </c>
      <c r="M23" s="1">
        <v>112.0</v>
      </c>
      <c r="N23" s="1">
        <v>1328.0</v>
      </c>
      <c r="O23" s="1">
        <v>1350.0</v>
      </c>
      <c r="P23" s="4">
        <f t="shared" si="1"/>
        <v>7</v>
      </c>
      <c r="Q23" s="4" t="str">
        <f t="shared" si="2"/>
        <v>Sunday</v>
      </c>
      <c r="R23" s="4">
        <f t="shared" si="3"/>
        <v>2.579999924</v>
      </c>
      <c r="S23" s="2">
        <f t="shared" si="4"/>
        <v>0</v>
      </c>
      <c r="T23" s="4" t="str">
        <f t="shared" si="5"/>
        <v>Low</v>
      </c>
    </row>
    <row r="24">
      <c r="A24" s="1">
        <v>1.624580081E9</v>
      </c>
      <c r="B24" s="3">
        <v>42457.0</v>
      </c>
      <c r="C24" s="1">
        <v>1905.0</v>
      </c>
      <c r="D24" s="1">
        <v>1.24000000953674</v>
      </c>
      <c r="E24" s="1">
        <v>1.24000000953674</v>
      </c>
      <c r="F24" s="1">
        <v>0.0</v>
      </c>
      <c r="G24" s="1">
        <v>0.0</v>
      </c>
      <c r="H24" s="1">
        <v>0.0</v>
      </c>
      <c r="I24" s="1">
        <v>1.24000000953674</v>
      </c>
      <c r="J24" s="1">
        <v>0.0</v>
      </c>
      <c r="K24" s="1">
        <v>0.0</v>
      </c>
      <c r="L24" s="1">
        <v>0.0</v>
      </c>
      <c r="M24" s="1">
        <v>95.0</v>
      </c>
      <c r="N24" s="1">
        <v>1345.0</v>
      </c>
      <c r="O24" s="1">
        <v>1342.0</v>
      </c>
      <c r="P24" s="4">
        <f t="shared" si="1"/>
        <v>1</v>
      </c>
      <c r="Q24" s="4" t="str">
        <f t="shared" si="2"/>
        <v>Monday</v>
      </c>
      <c r="R24" s="4">
        <f t="shared" si="3"/>
        <v>2.480000019</v>
      </c>
      <c r="S24" s="2">
        <f t="shared" si="4"/>
        <v>0</v>
      </c>
      <c r="T24" s="4" t="str">
        <f t="shared" si="5"/>
        <v>Low</v>
      </c>
    </row>
    <row r="25">
      <c r="A25" s="1">
        <v>1.624580081E9</v>
      </c>
      <c r="B25" s="3">
        <v>42458.0</v>
      </c>
      <c r="C25" s="1">
        <v>1552.0</v>
      </c>
      <c r="D25" s="1">
        <v>1.00999999046326</v>
      </c>
      <c r="E25" s="1">
        <v>1.00999999046326</v>
      </c>
      <c r="F25" s="1">
        <v>0.0</v>
      </c>
      <c r="G25" s="1">
        <v>0.0</v>
      </c>
      <c r="H25" s="1">
        <v>0.0</v>
      </c>
      <c r="I25" s="1">
        <v>1.0</v>
      </c>
      <c r="J25" s="1">
        <v>0.0</v>
      </c>
      <c r="K25" s="1">
        <v>0.0</v>
      </c>
      <c r="L25" s="1">
        <v>0.0</v>
      </c>
      <c r="M25" s="1">
        <v>66.0</v>
      </c>
      <c r="N25" s="1">
        <v>1374.0</v>
      </c>
      <c r="O25" s="1">
        <v>1300.0</v>
      </c>
      <c r="P25" s="4">
        <f t="shared" si="1"/>
        <v>2</v>
      </c>
      <c r="Q25" s="4" t="str">
        <f t="shared" si="2"/>
        <v>Tuesday</v>
      </c>
      <c r="R25" s="4">
        <f t="shared" si="3"/>
        <v>2.019999981</v>
      </c>
      <c r="S25" s="2">
        <f t="shared" si="4"/>
        <v>0</v>
      </c>
      <c r="T25" s="4" t="str">
        <f t="shared" si="5"/>
        <v>Low</v>
      </c>
    </row>
    <row r="26">
      <c r="A26" s="1">
        <v>1.624580081E9</v>
      </c>
      <c r="B26" s="3">
        <v>42459.0</v>
      </c>
      <c r="C26" s="1">
        <v>1675.0</v>
      </c>
      <c r="D26" s="1">
        <v>1.0900000333786</v>
      </c>
      <c r="E26" s="1">
        <v>1.0900000333786</v>
      </c>
      <c r="F26" s="1">
        <v>0.0</v>
      </c>
      <c r="G26" s="1">
        <v>0.0</v>
      </c>
      <c r="H26" s="1">
        <v>0.0</v>
      </c>
      <c r="I26" s="1">
        <v>1.0900000333786</v>
      </c>
      <c r="J26" s="1">
        <v>0.0</v>
      </c>
      <c r="K26" s="1">
        <v>0.0</v>
      </c>
      <c r="L26" s="1">
        <v>0.0</v>
      </c>
      <c r="M26" s="1">
        <v>84.0</v>
      </c>
      <c r="N26" s="1">
        <v>1356.0</v>
      </c>
      <c r="O26" s="1">
        <v>1313.0</v>
      </c>
      <c r="P26" s="4">
        <f t="shared" si="1"/>
        <v>3</v>
      </c>
      <c r="Q26" s="4" t="str">
        <f t="shared" si="2"/>
        <v>Wednesday</v>
      </c>
      <c r="R26" s="4">
        <f t="shared" si="3"/>
        <v>2.180000067</v>
      </c>
      <c r="S26" s="2">
        <f t="shared" si="4"/>
        <v>0</v>
      </c>
      <c r="T26" s="4" t="str">
        <f t="shared" si="5"/>
        <v>Low</v>
      </c>
    </row>
    <row r="27">
      <c r="A27" s="1">
        <v>1.624580081E9</v>
      </c>
      <c r="B27" s="3">
        <v>42460.0</v>
      </c>
      <c r="C27" s="1">
        <v>4506.0</v>
      </c>
      <c r="D27" s="1">
        <v>2.9300000667572</v>
      </c>
      <c r="E27" s="1">
        <v>2.9300000667572</v>
      </c>
      <c r="F27" s="1">
        <v>0.0</v>
      </c>
      <c r="G27" s="1">
        <v>0.509999990463257</v>
      </c>
      <c r="H27" s="1">
        <v>0.270000010728836</v>
      </c>
      <c r="I27" s="1">
        <v>2.15000009536743</v>
      </c>
      <c r="J27" s="1">
        <v>0.00999999977648258</v>
      </c>
      <c r="K27" s="1">
        <v>7.0</v>
      </c>
      <c r="L27" s="1">
        <v>4.0</v>
      </c>
      <c r="M27" s="1">
        <v>144.0</v>
      </c>
      <c r="N27" s="1">
        <v>1285.0</v>
      </c>
      <c r="O27" s="1">
        <v>1498.0</v>
      </c>
      <c r="P27" s="4">
        <f t="shared" si="1"/>
        <v>4</v>
      </c>
      <c r="Q27" s="4" t="str">
        <f t="shared" si="2"/>
        <v>Thursday</v>
      </c>
      <c r="R27" s="4">
        <f t="shared" si="3"/>
        <v>5.860000134</v>
      </c>
      <c r="S27" s="2">
        <f t="shared" si="4"/>
        <v>0.007638888889</v>
      </c>
      <c r="T27" s="4" t="str">
        <f t="shared" si="5"/>
        <v>Low</v>
      </c>
    </row>
    <row r="28">
      <c r="A28" s="1">
        <v>1.624580081E9</v>
      </c>
      <c r="B28" s="3">
        <v>42461.0</v>
      </c>
      <c r="C28" s="1">
        <v>9218.0</v>
      </c>
      <c r="D28" s="1">
        <v>5.98999977111816</v>
      </c>
      <c r="E28" s="1">
        <v>5.98999977111816</v>
      </c>
      <c r="F28" s="1">
        <v>0.0</v>
      </c>
      <c r="G28" s="1">
        <v>0.0</v>
      </c>
      <c r="H28" s="1">
        <v>0.0</v>
      </c>
      <c r="I28" s="1">
        <v>5.96999979019165</v>
      </c>
      <c r="J28" s="1">
        <v>0.00999999977648258</v>
      </c>
      <c r="K28" s="1">
        <v>0.0</v>
      </c>
      <c r="L28" s="1">
        <v>0.0</v>
      </c>
      <c r="M28" s="1">
        <v>221.0</v>
      </c>
      <c r="N28" s="1">
        <v>1219.0</v>
      </c>
      <c r="O28" s="1">
        <v>1541.0</v>
      </c>
      <c r="P28" s="4">
        <f t="shared" si="1"/>
        <v>5</v>
      </c>
      <c r="Q28" s="4" t="str">
        <f t="shared" si="2"/>
        <v>Friday</v>
      </c>
      <c r="R28" s="4">
        <f t="shared" si="3"/>
        <v>11.97999954</v>
      </c>
      <c r="S28" s="2">
        <f t="shared" si="4"/>
        <v>0</v>
      </c>
      <c r="T28" s="4" t="str">
        <f t="shared" si="5"/>
        <v>Low</v>
      </c>
    </row>
    <row r="29">
      <c r="A29" s="1">
        <v>1.624580081E9</v>
      </c>
      <c r="B29" s="3">
        <v>42462.0</v>
      </c>
      <c r="C29" s="1">
        <v>1556.0</v>
      </c>
      <c r="D29" s="1">
        <v>1.00999999046326</v>
      </c>
      <c r="E29" s="1">
        <v>1.00999999046326</v>
      </c>
      <c r="F29" s="1">
        <v>0.0</v>
      </c>
      <c r="G29" s="1">
        <v>0.0</v>
      </c>
      <c r="H29" s="1">
        <v>0.0</v>
      </c>
      <c r="I29" s="1">
        <v>1.00999999046326</v>
      </c>
      <c r="J29" s="1">
        <v>0.00999999977648258</v>
      </c>
      <c r="K29" s="1">
        <v>0.0</v>
      </c>
      <c r="L29" s="1">
        <v>0.0</v>
      </c>
      <c r="M29" s="1">
        <v>88.0</v>
      </c>
      <c r="N29" s="1">
        <v>1352.0</v>
      </c>
      <c r="O29" s="1">
        <v>1327.0</v>
      </c>
      <c r="P29" s="4">
        <f t="shared" si="1"/>
        <v>6</v>
      </c>
      <c r="Q29" s="4" t="str">
        <f t="shared" si="2"/>
        <v>Saturday</v>
      </c>
      <c r="R29" s="4">
        <f t="shared" si="3"/>
        <v>2.019999981</v>
      </c>
      <c r="S29" s="2">
        <f t="shared" si="4"/>
        <v>0</v>
      </c>
      <c r="T29" s="4" t="str">
        <f t="shared" si="5"/>
        <v>Low</v>
      </c>
    </row>
    <row r="30">
      <c r="A30" s="1">
        <v>1.624580081E9</v>
      </c>
      <c r="B30" s="3">
        <v>42463.0</v>
      </c>
      <c r="C30" s="1">
        <v>2910.0</v>
      </c>
      <c r="D30" s="1">
        <v>1.88999998569489</v>
      </c>
      <c r="E30" s="1">
        <v>1.88999998569489</v>
      </c>
      <c r="F30" s="1">
        <v>0.0</v>
      </c>
      <c r="G30" s="1">
        <v>0.0</v>
      </c>
      <c r="H30" s="1">
        <v>0.0</v>
      </c>
      <c r="I30" s="1">
        <v>1.87999999523163</v>
      </c>
      <c r="J30" s="1">
        <v>0.00999999977648258</v>
      </c>
      <c r="K30" s="1">
        <v>0.0</v>
      </c>
      <c r="L30" s="1">
        <v>0.0</v>
      </c>
      <c r="M30" s="1">
        <v>157.0</v>
      </c>
      <c r="N30" s="1">
        <v>1283.0</v>
      </c>
      <c r="O30" s="1">
        <v>1452.0</v>
      </c>
      <c r="P30" s="4">
        <f t="shared" si="1"/>
        <v>7</v>
      </c>
      <c r="Q30" s="4" t="str">
        <f t="shared" si="2"/>
        <v>Sunday</v>
      </c>
      <c r="R30" s="4">
        <f t="shared" si="3"/>
        <v>3.779999971</v>
      </c>
      <c r="S30" s="2">
        <f t="shared" si="4"/>
        <v>0</v>
      </c>
      <c r="T30" s="4" t="str">
        <f t="shared" si="5"/>
        <v>Low</v>
      </c>
    </row>
    <row r="31">
      <c r="A31" s="1">
        <v>1.624580081E9</v>
      </c>
      <c r="B31" s="3">
        <v>42464.0</v>
      </c>
      <c r="C31" s="1">
        <v>18464.0</v>
      </c>
      <c r="D31" s="1">
        <v>12.0</v>
      </c>
      <c r="E31" s="1">
        <v>12.0</v>
      </c>
      <c r="F31" s="1">
        <v>0.0</v>
      </c>
      <c r="G31" s="1">
        <v>0.0</v>
      </c>
      <c r="H31" s="1">
        <v>0.0</v>
      </c>
      <c r="I31" s="1">
        <v>12.0</v>
      </c>
      <c r="J31" s="1">
        <v>0.0</v>
      </c>
      <c r="K31" s="1">
        <v>0.0</v>
      </c>
      <c r="L31" s="1">
        <v>0.0</v>
      </c>
      <c r="M31" s="1">
        <v>270.0</v>
      </c>
      <c r="N31" s="1">
        <v>1170.0</v>
      </c>
      <c r="O31" s="1">
        <v>1574.0</v>
      </c>
      <c r="P31" s="4">
        <f t="shared" si="1"/>
        <v>1</v>
      </c>
      <c r="Q31" s="4" t="str">
        <f t="shared" si="2"/>
        <v>Monday</v>
      </c>
      <c r="R31" s="4">
        <f t="shared" si="3"/>
        <v>24</v>
      </c>
      <c r="S31" s="2">
        <f t="shared" si="4"/>
        <v>0</v>
      </c>
      <c r="T31" s="4" t="str">
        <f t="shared" si="5"/>
        <v>Low</v>
      </c>
    </row>
    <row r="32">
      <c r="A32" s="1">
        <v>1.624580081E9</v>
      </c>
      <c r="B32" s="3">
        <v>42465.0</v>
      </c>
      <c r="C32" s="1">
        <v>1335.0</v>
      </c>
      <c r="D32" s="1">
        <v>0.870000004768372</v>
      </c>
      <c r="E32" s="1">
        <v>0.870000004768372</v>
      </c>
      <c r="F32" s="1">
        <v>0.0</v>
      </c>
      <c r="G32" s="1">
        <v>0.0</v>
      </c>
      <c r="H32" s="1">
        <v>0.0</v>
      </c>
      <c r="I32" s="1">
        <v>0.870000004768372</v>
      </c>
      <c r="J32" s="1">
        <v>0.0</v>
      </c>
      <c r="K32" s="1">
        <v>0.0</v>
      </c>
      <c r="L32" s="1">
        <v>0.0</v>
      </c>
      <c r="M32" s="1">
        <v>74.0</v>
      </c>
      <c r="N32" s="1">
        <v>1366.0</v>
      </c>
      <c r="O32" s="1">
        <v>1308.0</v>
      </c>
      <c r="P32" s="4">
        <f t="shared" si="1"/>
        <v>2</v>
      </c>
      <c r="Q32" s="4" t="str">
        <f t="shared" si="2"/>
        <v>Tuesday</v>
      </c>
      <c r="R32" s="4">
        <f t="shared" si="3"/>
        <v>1.74000001</v>
      </c>
      <c r="S32" s="2">
        <f t="shared" si="4"/>
        <v>0</v>
      </c>
      <c r="T32" s="4" t="str">
        <f t="shared" si="5"/>
        <v>Low</v>
      </c>
    </row>
    <row r="33">
      <c r="A33" s="1">
        <v>1.624580081E9</v>
      </c>
      <c r="B33" s="3">
        <v>42466.0</v>
      </c>
      <c r="C33" s="1">
        <v>1004.0</v>
      </c>
      <c r="D33" s="1">
        <v>0.649999976158142</v>
      </c>
      <c r="E33" s="1">
        <v>0.649999976158142</v>
      </c>
      <c r="F33" s="1">
        <v>0.0</v>
      </c>
      <c r="G33" s="1">
        <v>0.0</v>
      </c>
      <c r="H33" s="1">
        <v>0.0</v>
      </c>
      <c r="I33" s="1">
        <v>0.649999976158142</v>
      </c>
      <c r="J33" s="1">
        <v>0.0</v>
      </c>
      <c r="K33" s="1">
        <v>0.0</v>
      </c>
      <c r="L33" s="1">
        <v>0.0</v>
      </c>
      <c r="M33" s="1">
        <v>55.0</v>
      </c>
      <c r="N33" s="1">
        <v>1385.0</v>
      </c>
      <c r="O33" s="1">
        <v>1276.0</v>
      </c>
      <c r="P33" s="4">
        <f t="shared" si="1"/>
        <v>3</v>
      </c>
      <c r="Q33" s="4" t="str">
        <f t="shared" si="2"/>
        <v>Wednesday</v>
      </c>
      <c r="R33" s="4">
        <f t="shared" si="3"/>
        <v>1.299999952</v>
      </c>
      <c r="S33" s="2">
        <f t="shared" si="4"/>
        <v>0</v>
      </c>
      <c r="T33" s="4" t="str">
        <f t="shared" si="5"/>
        <v>Low</v>
      </c>
    </row>
    <row r="34">
      <c r="A34" s="1">
        <v>1.624580081E9</v>
      </c>
      <c r="B34" s="3">
        <v>42467.0</v>
      </c>
      <c r="C34" s="1">
        <v>1111.0</v>
      </c>
      <c r="D34" s="1">
        <v>0.720000028610229</v>
      </c>
      <c r="E34" s="1">
        <v>0.720000028610229</v>
      </c>
      <c r="F34" s="1">
        <v>0.0</v>
      </c>
      <c r="G34" s="1">
        <v>0.0</v>
      </c>
      <c r="H34" s="1">
        <v>0.0</v>
      </c>
      <c r="I34" s="1">
        <v>0.720000028610229</v>
      </c>
      <c r="J34" s="1">
        <v>0.0</v>
      </c>
      <c r="K34" s="1">
        <v>0.0</v>
      </c>
      <c r="L34" s="1">
        <v>0.0</v>
      </c>
      <c r="M34" s="1">
        <v>54.0</v>
      </c>
      <c r="N34" s="1">
        <v>1386.0</v>
      </c>
      <c r="O34" s="1">
        <v>1278.0</v>
      </c>
      <c r="P34" s="4">
        <f t="shared" si="1"/>
        <v>4</v>
      </c>
      <c r="Q34" s="4" t="str">
        <f t="shared" si="2"/>
        <v>Thursday</v>
      </c>
      <c r="R34" s="4">
        <f t="shared" si="3"/>
        <v>1.440000057</v>
      </c>
      <c r="S34" s="2">
        <f t="shared" si="4"/>
        <v>0</v>
      </c>
      <c r="T34" s="4" t="str">
        <f t="shared" si="5"/>
        <v>Low</v>
      </c>
    </row>
    <row r="35">
      <c r="A35" s="1">
        <v>1.624580081E9</v>
      </c>
      <c r="B35" s="3">
        <v>42468.0</v>
      </c>
      <c r="C35" s="1">
        <v>6344.0</v>
      </c>
      <c r="D35" s="1">
        <v>4.11999988555908</v>
      </c>
      <c r="E35" s="1">
        <v>4.11999988555908</v>
      </c>
      <c r="F35" s="1">
        <v>0.0</v>
      </c>
      <c r="G35" s="1">
        <v>0.0</v>
      </c>
      <c r="H35" s="1">
        <v>0.0</v>
      </c>
      <c r="I35" s="1">
        <v>4.09999990463257</v>
      </c>
      <c r="J35" s="1">
        <v>0.0</v>
      </c>
      <c r="K35" s="1">
        <v>0.0</v>
      </c>
      <c r="L35" s="1">
        <v>0.0</v>
      </c>
      <c r="M35" s="1">
        <v>143.0</v>
      </c>
      <c r="N35" s="1">
        <v>1297.0</v>
      </c>
      <c r="O35" s="1">
        <v>1409.0</v>
      </c>
      <c r="P35" s="4">
        <f t="shared" si="1"/>
        <v>5</v>
      </c>
      <c r="Q35" s="4" t="str">
        <f t="shared" si="2"/>
        <v>Friday</v>
      </c>
      <c r="R35" s="4">
        <f t="shared" si="3"/>
        <v>8.239999771</v>
      </c>
      <c r="S35" s="2">
        <f t="shared" si="4"/>
        <v>0</v>
      </c>
      <c r="T35" s="4" t="str">
        <f t="shared" si="5"/>
        <v>Low</v>
      </c>
    </row>
    <row r="36">
      <c r="A36" s="1">
        <v>1.624580081E9</v>
      </c>
      <c r="B36" s="3">
        <v>42469.0</v>
      </c>
      <c r="C36" s="1">
        <v>3572.0</v>
      </c>
      <c r="D36" s="1">
        <v>2.3199999332428</v>
      </c>
      <c r="E36" s="1">
        <v>2.3199999332428</v>
      </c>
      <c r="F36" s="1">
        <v>0.0</v>
      </c>
      <c r="G36" s="1">
        <v>0.0</v>
      </c>
      <c r="H36" s="1">
        <v>0.0</v>
      </c>
      <c r="I36" s="1">
        <v>2.28999996185303</v>
      </c>
      <c r="J36" s="1">
        <v>0.0299999993294477</v>
      </c>
      <c r="K36" s="1">
        <v>0.0</v>
      </c>
      <c r="L36" s="1">
        <v>0.0</v>
      </c>
      <c r="M36" s="1">
        <v>122.0</v>
      </c>
      <c r="N36" s="1">
        <v>1318.0</v>
      </c>
      <c r="O36" s="1">
        <v>1370.0</v>
      </c>
      <c r="P36" s="4">
        <f t="shared" si="1"/>
        <v>6</v>
      </c>
      <c r="Q36" s="4" t="str">
        <f t="shared" si="2"/>
        <v>Saturday</v>
      </c>
      <c r="R36" s="4">
        <f t="shared" si="3"/>
        <v>4.639999866</v>
      </c>
      <c r="S36" s="2">
        <f t="shared" si="4"/>
        <v>0</v>
      </c>
      <c r="T36" s="4" t="str">
        <f t="shared" si="5"/>
        <v>Low</v>
      </c>
    </row>
    <row r="37">
      <c r="A37" s="1">
        <v>1.624580081E9</v>
      </c>
      <c r="B37" s="3">
        <v>42470.0</v>
      </c>
      <c r="C37" s="1">
        <v>3910.0</v>
      </c>
      <c r="D37" s="1">
        <v>2.53999996185303</v>
      </c>
      <c r="E37" s="1">
        <v>2.53999996185303</v>
      </c>
      <c r="F37" s="1">
        <v>0.0</v>
      </c>
      <c r="G37" s="1">
        <v>0.469999998807907</v>
      </c>
      <c r="H37" s="1">
        <v>0.25</v>
      </c>
      <c r="I37" s="1">
        <v>1.80999994277954</v>
      </c>
      <c r="J37" s="1">
        <v>0.00999999977648258</v>
      </c>
      <c r="K37" s="1">
        <v>7.0</v>
      </c>
      <c r="L37" s="1">
        <v>7.0</v>
      </c>
      <c r="M37" s="1">
        <v>186.0</v>
      </c>
      <c r="N37" s="1">
        <v>1240.0</v>
      </c>
      <c r="O37" s="1">
        <v>1555.0</v>
      </c>
      <c r="P37" s="4">
        <f t="shared" si="1"/>
        <v>7</v>
      </c>
      <c r="Q37" s="4" t="str">
        <f t="shared" si="2"/>
        <v>Sunday</v>
      </c>
      <c r="R37" s="4">
        <f t="shared" si="3"/>
        <v>5.079999924</v>
      </c>
      <c r="S37" s="2">
        <f t="shared" si="4"/>
        <v>0.009722222222</v>
      </c>
      <c r="T37" s="4" t="str">
        <f t="shared" si="5"/>
        <v>Low</v>
      </c>
    </row>
    <row r="38">
      <c r="A38" s="1">
        <v>1.624580081E9</v>
      </c>
      <c r="B38" s="3">
        <v>42471.0</v>
      </c>
      <c r="C38" s="1">
        <v>10000.0</v>
      </c>
      <c r="D38" s="1">
        <v>6.5</v>
      </c>
      <c r="E38" s="1">
        <v>6.5</v>
      </c>
      <c r="F38" s="1">
        <v>0.0</v>
      </c>
      <c r="G38" s="1">
        <v>0.0</v>
      </c>
      <c r="H38" s="1">
        <v>0.0</v>
      </c>
      <c r="I38" s="1">
        <v>6.5</v>
      </c>
      <c r="J38" s="1">
        <v>0.0</v>
      </c>
      <c r="K38" s="1">
        <v>0.0</v>
      </c>
      <c r="L38" s="1">
        <v>0.0</v>
      </c>
      <c r="M38" s="1">
        <v>172.0</v>
      </c>
      <c r="N38" s="1">
        <v>1268.0</v>
      </c>
      <c r="O38" s="1">
        <v>1469.0</v>
      </c>
      <c r="P38" s="4">
        <f t="shared" si="1"/>
        <v>1</v>
      </c>
      <c r="Q38" s="4" t="str">
        <f t="shared" si="2"/>
        <v>Monday</v>
      </c>
      <c r="R38" s="4">
        <f t="shared" si="3"/>
        <v>13</v>
      </c>
      <c r="S38" s="2">
        <f t="shared" si="4"/>
        <v>0</v>
      </c>
      <c r="T38" s="4" t="str">
        <f t="shared" si="5"/>
        <v>Low</v>
      </c>
    </row>
    <row r="39">
      <c r="A39" s="1">
        <v>1.624580081E9</v>
      </c>
      <c r="B39" s="3">
        <v>42472.0</v>
      </c>
      <c r="C39" s="1">
        <v>6627.0</v>
      </c>
      <c r="D39" s="1">
        <v>4.30999994277954</v>
      </c>
      <c r="E39" s="1">
        <v>4.30999994277954</v>
      </c>
      <c r="F39" s="1">
        <v>0.0</v>
      </c>
      <c r="G39" s="1">
        <v>0.0</v>
      </c>
      <c r="H39" s="1">
        <v>0.0</v>
      </c>
      <c r="I39" s="1">
        <v>4.30999994277954</v>
      </c>
      <c r="J39" s="1">
        <v>0.0</v>
      </c>
      <c r="K39" s="1">
        <v>0.0</v>
      </c>
      <c r="L39" s="1">
        <v>0.0</v>
      </c>
      <c r="M39" s="1">
        <v>89.0</v>
      </c>
      <c r="N39" s="1">
        <v>604.0</v>
      </c>
      <c r="O39" s="1">
        <v>706.0</v>
      </c>
      <c r="P39" s="4">
        <f t="shared" si="1"/>
        <v>2</v>
      </c>
      <c r="Q39" s="4" t="str">
        <f t="shared" si="2"/>
        <v>Tuesday</v>
      </c>
      <c r="R39" s="4">
        <f t="shared" si="3"/>
        <v>8.619999886</v>
      </c>
      <c r="S39" s="2">
        <f t="shared" si="4"/>
        <v>0</v>
      </c>
      <c r="T39" s="4" t="str">
        <f t="shared" si="5"/>
        <v>Low</v>
      </c>
    </row>
    <row r="40">
      <c r="A40" s="1">
        <v>1.644430081E9</v>
      </c>
      <c r="B40" s="3">
        <v>42461.0</v>
      </c>
      <c r="C40" s="1">
        <v>4636.0</v>
      </c>
      <c r="D40" s="1">
        <v>3.41000008583069</v>
      </c>
      <c r="E40" s="1">
        <v>3.41000008583069</v>
      </c>
      <c r="F40" s="1">
        <v>0.0</v>
      </c>
      <c r="G40" s="1">
        <v>0.0</v>
      </c>
      <c r="H40" s="1">
        <v>0.779999971389771</v>
      </c>
      <c r="I40" s="1">
        <v>2.59999990463257</v>
      </c>
      <c r="J40" s="1">
        <v>0.0299999993294477</v>
      </c>
      <c r="K40" s="1">
        <v>0.0</v>
      </c>
      <c r="L40" s="1">
        <v>16.0</v>
      </c>
      <c r="M40" s="1">
        <v>586.0</v>
      </c>
      <c r="N40" s="1">
        <v>838.0</v>
      </c>
      <c r="O40" s="1">
        <v>3323.0</v>
      </c>
      <c r="P40" s="4">
        <f t="shared" si="1"/>
        <v>5</v>
      </c>
      <c r="Q40" s="4" t="str">
        <f t="shared" si="2"/>
        <v>Friday</v>
      </c>
      <c r="R40" s="4">
        <f t="shared" si="3"/>
        <v>6.820000172</v>
      </c>
      <c r="S40" s="2">
        <f t="shared" si="4"/>
        <v>0.01111111111</v>
      </c>
      <c r="T40" s="4" t="str">
        <f t="shared" si="5"/>
        <v>Low</v>
      </c>
    </row>
    <row r="41">
      <c r="A41" s="1">
        <v>1.644430081E9</v>
      </c>
      <c r="B41" s="3">
        <v>42462.0</v>
      </c>
      <c r="C41" s="1">
        <v>20237.0</v>
      </c>
      <c r="D41" s="1">
        <v>14.710000038147</v>
      </c>
      <c r="E41" s="1">
        <v>14.710000038147</v>
      </c>
      <c r="F41" s="1">
        <v>0.0</v>
      </c>
      <c r="G41" s="1">
        <v>2.5699999332428</v>
      </c>
      <c r="H41" s="1">
        <v>6.40000009536743</v>
      </c>
      <c r="I41" s="1">
        <v>5.73000001907349</v>
      </c>
      <c r="J41" s="1">
        <v>0.00999999977648258</v>
      </c>
      <c r="K41" s="1">
        <v>34.0</v>
      </c>
      <c r="L41" s="1">
        <v>141.0</v>
      </c>
      <c r="M41" s="1">
        <v>347.0</v>
      </c>
      <c r="N41" s="1">
        <v>918.0</v>
      </c>
      <c r="O41" s="1">
        <v>4029.0</v>
      </c>
      <c r="P41" s="4">
        <f t="shared" si="1"/>
        <v>6</v>
      </c>
      <c r="Q41" s="4" t="str">
        <f t="shared" si="2"/>
        <v>Saturday</v>
      </c>
      <c r="R41" s="4">
        <f t="shared" si="3"/>
        <v>29.42000008</v>
      </c>
      <c r="S41" s="2">
        <f t="shared" si="4"/>
        <v>0.1215277778</v>
      </c>
      <c r="T41" s="4" t="str">
        <f t="shared" si="5"/>
        <v>High</v>
      </c>
    </row>
    <row r="42">
      <c r="A42" s="1">
        <v>1.644430081E9</v>
      </c>
      <c r="B42" s="3">
        <v>42463.0</v>
      </c>
      <c r="C42" s="1">
        <v>12912.0</v>
      </c>
      <c r="D42" s="1">
        <v>9.40999984741211</v>
      </c>
      <c r="E42" s="1">
        <v>9.40999984741211</v>
      </c>
      <c r="F42" s="1">
        <v>0.0</v>
      </c>
      <c r="G42" s="1">
        <v>4.82999992370605</v>
      </c>
      <c r="H42" s="1">
        <v>0.769999980926514</v>
      </c>
      <c r="I42" s="1">
        <v>3.78999996185303</v>
      </c>
      <c r="J42" s="1">
        <v>0.0299999993294477</v>
      </c>
      <c r="K42" s="1">
        <v>59.0</v>
      </c>
      <c r="L42" s="1">
        <v>16.0</v>
      </c>
      <c r="M42" s="1">
        <v>283.0</v>
      </c>
      <c r="N42" s="1">
        <v>1082.0</v>
      </c>
      <c r="O42" s="1">
        <v>3436.0</v>
      </c>
      <c r="P42" s="4">
        <f t="shared" si="1"/>
        <v>7</v>
      </c>
      <c r="Q42" s="4" t="str">
        <f t="shared" si="2"/>
        <v>Sunday</v>
      </c>
      <c r="R42" s="4">
        <f t="shared" si="3"/>
        <v>18.81999969</v>
      </c>
      <c r="S42" s="2">
        <f t="shared" si="4"/>
        <v>0.05208333333</v>
      </c>
      <c r="T42" s="4" t="str">
        <f t="shared" si="5"/>
        <v>High</v>
      </c>
    </row>
    <row r="43">
      <c r="A43" s="1">
        <v>1.644430081E9</v>
      </c>
      <c r="B43" s="3">
        <v>42464.0</v>
      </c>
      <c r="C43" s="1">
        <v>2819.0</v>
      </c>
      <c r="D43" s="1">
        <v>2.04999995231628</v>
      </c>
      <c r="E43" s="1">
        <v>2.04999995231628</v>
      </c>
      <c r="F43" s="1">
        <v>0.0</v>
      </c>
      <c r="G43" s="1">
        <v>0.310000002384186</v>
      </c>
      <c r="H43" s="1">
        <v>0.170000001788139</v>
      </c>
      <c r="I43" s="1">
        <v>1.55999994277954</v>
      </c>
      <c r="J43" s="1">
        <v>0.00999999977648258</v>
      </c>
      <c r="K43" s="1">
        <v>4.0</v>
      </c>
      <c r="L43" s="1">
        <v>4.0</v>
      </c>
      <c r="M43" s="1">
        <v>87.0</v>
      </c>
      <c r="N43" s="1">
        <v>1345.0</v>
      </c>
      <c r="O43" s="1">
        <v>2444.0</v>
      </c>
      <c r="P43" s="4">
        <f t="shared" si="1"/>
        <v>1</v>
      </c>
      <c r="Q43" s="4" t="str">
        <f t="shared" si="2"/>
        <v>Monday</v>
      </c>
      <c r="R43" s="4">
        <f t="shared" si="3"/>
        <v>4.099999905</v>
      </c>
      <c r="S43" s="2">
        <f t="shared" si="4"/>
        <v>0.005555555556</v>
      </c>
      <c r="T43" s="4" t="str">
        <f t="shared" si="5"/>
        <v>Low</v>
      </c>
    </row>
    <row r="44">
      <c r="A44" s="1">
        <v>1.644430081E9</v>
      </c>
      <c r="B44" s="3">
        <v>42465.0</v>
      </c>
      <c r="C44" s="1">
        <v>9921.0</v>
      </c>
      <c r="D44" s="1">
        <v>7.21000003814697</v>
      </c>
      <c r="E44" s="1">
        <v>7.21000003814697</v>
      </c>
      <c r="F44" s="1">
        <v>0.0</v>
      </c>
      <c r="G44" s="1">
        <v>0.340000003576279</v>
      </c>
      <c r="H44" s="1">
        <v>1.51999998092651</v>
      </c>
      <c r="I44" s="1">
        <v>5.3600001335144</v>
      </c>
      <c r="J44" s="1">
        <v>0.0</v>
      </c>
      <c r="K44" s="1">
        <v>5.0</v>
      </c>
      <c r="L44" s="1">
        <v>35.0</v>
      </c>
      <c r="M44" s="1">
        <v>219.0</v>
      </c>
      <c r="N44" s="1">
        <v>1181.0</v>
      </c>
      <c r="O44" s="1">
        <v>3098.0</v>
      </c>
      <c r="P44" s="4">
        <f t="shared" si="1"/>
        <v>2</v>
      </c>
      <c r="Q44" s="4" t="str">
        <f t="shared" si="2"/>
        <v>Tuesday</v>
      </c>
      <c r="R44" s="4">
        <f t="shared" si="3"/>
        <v>14.42000008</v>
      </c>
      <c r="S44" s="2">
        <f t="shared" si="4"/>
        <v>0.02777777778</v>
      </c>
      <c r="T44" s="4" t="str">
        <f t="shared" si="5"/>
        <v>Low</v>
      </c>
    </row>
    <row r="45">
      <c r="A45" s="1">
        <v>1.644430081E9</v>
      </c>
      <c r="B45" s="3">
        <v>42466.0</v>
      </c>
      <c r="C45" s="1">
        <v>8046.0</v>
      </c>
      <c r="D45" s="1">
        <v>5.84999990463257</v>
      </c>
      <c r="E45" s="1">
        <v>5.84999990463257</v>
      </c>
      <c r="F45" s="1">
        <v>0.0</v>
      </c>
      <c r="G45" s="1">
        <v>1.28999996185303</v>
      </c>
      <c r="H45" s="1">
        <v>2.11999988555908</v>
      </c>
      <c r="I45" s="1">
        <v>2.45000004768372</v>
      </c>
      <c r="J45" s="1">
        <v>0.0</v>
      </c>
      <c r="K45" s="1">
        <v>18.0</v>
      </c>
      <c r="L45" s="1">
        <v>41.0</v>
      </c>
      <c r="M45" s="1">
        <v>137.0</v>
      </c>
      <c r="N45" s="1">
        <v>1244.0</v>
      </c>
      <c r="O45" s="1">
        <v>2925.0</v>
      </c>
      <c r="P45" s="4">
        <f t="shared" si="1"/>
        <v>3</v>
      </c>
      <c r="Q45" s="4" t="str">
        <f t="shared" si="2"/>
        <v>Wednesday</v>
      </c>
      <c r="R45" s="4">
        <f t="shared" si="3"/>
        <v>11.69999981</v>
      </c>
      <c r="S45" s="2">
        <f t="shared" si="4"/>
        <v>0.04097222222</v>
      </c>
      <c r="T45" s="4" t="str">
        <f t="shared" si="5"/>
        <v>Moderate</v>
      </c>
    </row>
    <row r="46">
      <c r="A46" s="1">
        <v>1.644430081E9</v>
      </c>
      <c r="B46" s="3">
        <v>42467.0</v>
      </c>
      <c r="C46" s="1">
        <v>11166.0</v>
      </c>
      <c r="D46" s="1">
        <v>8.11999988555908</v>
      </c>
      <c r="E46" s="1">
        <v>8.11999988555908</v>
      </c>
      <c r="F46" s="1">
        <v>0.0</v>
      </c>
      <c r="G46" s="1">
        <v>0.209999993443489</v>
      </c>
      <c r="H46" s="1">
        <v>2.41000008583069</v>
      </c>
      <c r="I46" s="1">
        <v>5.5</v>
      </c>
      <c r="J46" s="1">
        <v>0.0</v>
      </c>
      <c r="K46" s="1">
        <v>3.0</v>
      </c>
      <c r="L46" s="1">
        <v>58.0</v>
      </c>
      <c r="M46" s="1">
        <v>230.0</v>
      </c>
      <c r="N46" s="1">
        <v>1149.0</v>
      </c>
      <c r="O46" s="1">
        <v>3202.0</v>
      </c>
      <c r="P46" s="4">
        <f t="shared" si="1"/>
        <v>4</v>
      </c>
      <c r="Q46" s="4" t="str">
        <f t="shared" si="2"/>
        <v>Thursday</v>
      </c>
      <c r="R46" s="4">
        <f t="shared" si="3"/>
        <v>16.23999977</v>
      </c>
      <c r="S46" s="2">
        <f t="shared" si="4"/>
        <v>0.04236111111</v>
      </c>
      <c r="T46" s="4" t="str">
        <f t="shared" si="5"/>
        <v>Low</v>
      </c>
    </row>
    <row r="47">
      <c r="A47" s="1">
        <v>1.644430081E9</v>
      </c>
      <c r="B47" s="3">
        <v>42468.0</v>
      </c>
      <c r="C47" s="1">
        <v>7842.0</v>
      </c>
      <c r="D47" s="1">
        <v>5.69999980926514</v>
      </c>
      <c r="E47" s="1">
        <v>5.69999980926514</v>
      </c>
      <c r="F47" s="1">
        <v>0.0</v>
      </c>
      <c r="G47" s="1">
        <v>0.479999989271164</v>
      </c>
      <c r="H47" s="1">
        <v>2.41000008583069</v>
      </c>
      <c r="I47" s="1">
        <v>2.80999994277954</v>
      </c>
      <c r="J47" s="1">
        <v>0.0</v>
      </c>
      <c r="K47" s="1">
        <v>7.0</v>
      </c>
      <c r="L47" s="1">
        <v>43.0</v>
      </c>
      <c r="M47" s="1">
        <v>161.0</v>
      </c>
      <c r="N47" s="1">
        <v>1229.0</v>
      </c>
      <c r="O47" s="1">
        <v>2928.0</v>
      </c>
      <c r="P47" s="4">
        <f t="shared" si="1"/>
        <v>5</v>
      </c>
      <c r="Q47" s="4" t="str">
        <f t="shared" si="2"/>
        <v>Friday</v>
      </c>
      <c r="R47" s="4">
        <f t="shared" si="3"/>
        <v>11.39999962</v>
      </c>
      <c r="S47" s="2">
        <f t="shared" si="4"/>
        <v>0.03472222222</v>
      </c>
      <c r="T47" s="4" t="str">
        <f t="shared" si="5"/>
        <v>Low</v>
      </c>
    </row>
    <row r="48">
      <c r="A48" s="1">
        <v>1.644430081E9</v>
      </c>
      <c r="B48" s="3">
        <v>42469.0</v>
      </c>
      <c r="C48" s="1">
        <v>13840.0</v>
      </c>
      <c r="D48" s="1">
        <v>10.0600004196167</v>
      </c>
      <c r="E48" s="1">
        <v>10.0600004196167</v>
      </c>
      <c r="F48" s="1">
        <v>0.0</v>
      </c>
      <c r="G48" s="1">
        <v>1.30999994277954</v>
      </c>
      <c r="H48" s="1">
        <v>3.72000002861023</v>
      </c>
      <c r="I48" s="1">
        <v>5.03000020980835</v>
      </c>
      <c r="J48" s="1">
        <v>0.0</v>
      </c>
      <c r="K48" s="1">
        <v>18.0</v>
      </c>
      <c r="L48" s="1">
        <v>81.0</v>
      </c>
      <c r="M48" s="1">
        <v>192.0</v>
      </c>
      <c r="N48" s="1">
        <v>1149.0</v>
      </c>
      <c r="O48" s="1">
        <v>3290.0</v>
      </c>
      <c r="P48" s="4">
        <f t="shared" si="1"/>
        <v>6</v>
      </c>
      <c r="Q48" s="4" t="str">
        <f t="shared" si="2"/>
        <v>Saturday</v>
      </c>
      <c r="R48" s="4">
        <f t="shared" si="3"/>
        <v>20.12000084</v>
      </c>
      <c r="S48" s="2">
        <f t="shared" si="4"/>
        <v>0.06875</v>
      </c>
      <c r="T48" s="4" t="str">
        <f t="shared" si="5"/>
        <v>Moderate</v>
      </c>
    </row>
    <row r="49">
      <c r="A49" s="1">
        <v>1.644430081E9</v>
      </c>
      <c r="B49" s="3">
        <v>42470.0</v>
      </c>
      <c r="C49" s="1">
        <v>1329.0</v>
      </c>
      <c r="D49" s="1">
        <v>0.970000028610229</v>
      </c>
      <c r="E49" s="1">
        <v>0.970000028610229</v>
      </c>
      <c r="F49" s="1">
        <v>0.0</v>
      </c>
      <c r="G49" s="1">
        <v>0.0</v>
      </c>
      <c r="H49" s="1">
        <v>0.0</v>
      </c>
      <c r="I49" s="1">
        <v>0.970000028610229</v>
      </c>
      <c r="J49" s="1">
        <v>0.0</v>
      </c>
      <c r="K49" s="1">
        <v>0.0</v>
      </c>
      <c r="L49" s="1">
        <v>0.0</v>
      </c>
      <c r="M49" s="1">
        <v>35.0</v>
      </c>
      <c r="N49" s="1">
        <v>207.0</v>
      </c>
      <c r="O49" s="1">
        <v>489.0</v>
      </c>
      <c r="P49" s="4">
        <f t="shared" si="1"/>
        <v>7</v>
      </c>
      <c r="Q49" s="4" t="str">
        <f t="shared" si="2"/>
        <v>Sunday</v>
      </c>
      <c r="R49" s="4">
        <f t="shared" si="3"/>
        <v>1.940000057</v>
      </c>
      <c r="S49" s="2">
        <f t="shared" si="4"/>
        <v>0</v>
      </c>
      <c r="T49" s="4" t="str">
        <f t="shared" si="5"/>
        <v>Low</v>
      </c>
    </row>
    <row r="50">
      <c r="A50" s="1">
        <v>1.844505072E9</v>
      </c>
      <c r="B50" s="3">
        <v>42461.0</v>
      </c>
      <c r="C50" s="1">
        <v>6847.0</v>
      </c>
      <c r="D50" s="1">
        <v>4.53000020980835</v>
      </c>
      <c r="E50" s="1">
        <v>4.53000020980835</v>
      </c>
      <c r="F50" s="1">
        <v>0.0</v>
      </c>
      <c r="G50" s="1">
        <v>0.610000014305115</v>
      </c>
      <c r="H50" s="1">
        <v>0.370000004768372</v>
      </c>
      <c r="I50" s="1">
        <v>3.54999995231628</v>
      </c>
      <c r="J50" s="1">
        <v>0.0</v>
      </c>
      <c r="K50" s="1">
        <v>9.0</v>
      </c>
      <c r="L50" s="1">
        <v>9.0</v>
      </c>
      <c r="M50" s="1">
        <v>251.0</v>
      </c>
      <c r="N50" s="1">
        <v>1171.0</v>
      </c>
      <c r="O50" s="1">
        <v>1969.0</v>
      </c>
      <c r="P50" s="4">
        <f t="shared" si="1"/>
        <v>5</v>
      </c>
      <c r="Q50" s="4" t="str">
        <f t="shared" si="2"/>
        <v>Friday</v>
      </c>
      <c r="R50" s="4">
        <f t="shared" si="3"/>
        <v>9.06000042</v>
      </c>
      <c r="S50" s="2">
        <f t="shared" si="4"/>
        <v>0.0125</v>
      </c>
      <c r="T50" s="4" t="str">
        <f t="shared" si="5"/>
        <v>Low</v>
      </c>
    </row>
    <row r="51">
      <c r="A51" s="1">
        <v>1.844505072E9</v>
      </c>
      <c r="B51" s="3">
        <v>42462.0</v>
      </c>
      <c r="C51" s="1">
        <v>5367.0</v>
      </c>
      <c r="D51" s="1">
        <v>3.54999995231628</v>
      </c>
      <c r="E51" s="1">
        <v>3.54999995231628</v>
      </c>
      <c r="F51" s="1">
        <v>0.0</v>
      </c>
      <c r="G51" s="1">
        <v>0.0</v>
      </c>
      <c r="H51" s="1">
        <v>0.0</v>
      </c>
      <c r="I51" s="1">
        <v>3.54999995231628</v>
      </c>
      <c r="J51" s="1">
        <v>0.0</v>
      </c>
      <c r="K51" s="1">
        <v>0.0</v>
      </c>
      <c r="L51" s="1">
        <v>0.0</v>
      </c>
      <c r="M51" s="1">
        <v>263.0</v>
      </c>
      <c r="N51" s="1">
        <v>1177.0</v>
      </c>
      <c r="O51" s="1">
        <v>1889.0</v>
      </c>
      <c r="P51" s="4">
        <f t="shared" si="1"/>
        <v>6</v>
      </c>
      <c r="Q51" s="4" t="str">
        <f t="shared" si="2"/>
        <v>Saturday</v>
      </c>
      <c r="R51" s="4">
        <f t="shared" si="3"/>
        <v>7.099999905</v>
      </c>
      <c r="S51" s="2">
        <f t="shared" si="4"/>
        <v>0</v>
      </c>
      <c r="T51" s="4" t="str">
        <f t="shared" si="5"/>
        <v>Low</v>
      </c>
    </row>
    <row r="52">
      <c r="A52" s="1">
        <v>1.844505072E9</v>
      </c>
      <c r="B52" s="3">
        <v>42463.0</v>
      </c>
      <c r="C52" s="1">
        <v>2841.0</v>
      </c>
      <c r="D52" s="1">
        <v>1.87999999523163</v>
      </c>
      <c r="E52" s="1">
        <v>1.87999999523163</v>
      </c>
      <c r="F52" s="1">
        <v>0.0</v>
      </c>
      <c r="G52" s="1">
        <v>0.0</v>
      </c>
      <c r="H52" s="1">
        <v>0.0</v>
      </c>
      <c r="I52" s="1">
        <v>1.87999999523163</v>
      </c>
      <c r="J52" s="1">
        <v>0.0</v>
      </c>
      <c r="K52" s="1">
        <v>0.0</v>
      </c>
      <c r="L52" s="1">
        <v>0.0</v>
      </c>
      <c r="M52" s="1">
        <v>136.0</v>
      </c>
      <c r="N52" s="1">
        <v>1114.0</v>
      </c>
      <c r="O52" s="1">
        <v>1636.0</v>
      </c>
      <c r="P52" s="4">
        <f t="shared" si="1"/>
        <v>7</v>
      </c>
      <c r="Q52" s="4" t="str">
        <f t="shared" si="2"/>
        <v>Sunday</v>
      </c>
      <c r="R52" s="4">
        <f t="shared" si="3"/>
        <v>3.75999999</v>
      </c>
      <c r="S52" s="2">
        <f t="shared" si="4"/>
        <v>0</v>
      </c>
      <c r="T52" s="4" t="str">
        <f t="shared" si="5"/>
        <v>Low</v>
      </c>
    </row>
    <row r="53">
      <c r="A53" s="1">
        <v>1.844505072E9</v>
      </c>
      <c r="B53" s="3">
        <v>42464.0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669.0</v>
      </c>
      <c r="O53" s="1">
        <v>1347.0</v>
      </c>
      <c r="P53" s="4">
        <f t="shared" si="1"/>
        <v>1</v>
      </c>
      <c r="Q53" s="4" t="str">
        <f t="shared" si="2"/>
        <v>Monday</v>
      </c>
      <c r="R53" s="4">
        <f t="shared" si="3"/>
        <v>0</v>
      </c>
      <c r="S53" s="2">
        <f t="shared" si="4"/>
        <v>0</v>
      </c>
      <c r="T53" s="4" t="str">
        <f t="shared" si="5"/>
        <v>Low</v>
      </c>
    </row>
    <row r="54">
      <c r="A54" s="1">
        <v>1.844505072E9</v>
      </c>
      <c r="B54" s="3">
        <v>42465.0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1440.0</v>
      </c>
      <c r="O54" s="1">
        <v>1347.0</v>
      </c>
      <c r="P54" s="4">
        <f t="shared" si="1"/>
        <v>2</v>
      </c>
      <c r="Q54" s="4" t="str">
        <f t="shared" si="2"/>
        <v>Tuesday</v>
      </c>
      <c r="R54" s="4">
        <f t="shared" si="3"/>
        <v>0</v>
      </c>
      <c r="S54" s="2">
        <f t="shared" si="4"/>
        <v>0</v>
      </c>
      <c r="T54" s="4" t="str">
        <f t="shared" si="5"/>
        <v>Low</v>
      </c>
    </row>
    <row r="55">
      <c r="A55" s="1">
        <v>1.844505072E9</v>
      </c>
      <c r="B55" s="3">
        <v>42466.0</v>
      </c>
      <c r="C55" s="1">
        <v>7.0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1.0</v>
      </c>
      <c r="N55" s="1">
        <v>1439.0</v>
      </c>
      <c r="O55" s="1">
        <v>1349.0</v>
      </c>
      <c r="P55" s="4">
        <f t="shared" si="1"/>
        <v>3</v>
      </c>
      <c r="Q55" s="4" t="str">
        <f t="shared" si="2"/>
        <v>Wednesday</v>
      </c>
      <c r="R55" s="4">
        <f t="shared" si="3"/>
        <v>0</v>
      </c>
      <c r="S55" s="2">
        <f t="shared" si="4"/>
        <v>0</v>
      </c>
      <c r="T55" s="4" t="str">
        <f t="shared" si="5"/>
        <v>Low</v>
      </c>
    </row>
    <row r="56">
      <c r="A56" s="1">
        <v>1.844505072E9</v>
      </c>
      <c r="B56" s="3">
        <v>42467.0</v>
      </c>
      <c r="C56" s="1">
        <v>6344.0</v>
      </c>
      <c r="D56" s="1">
        <v>4.19000005722046</v>
      </c>
      <c r="E56" s="1">
        <v>4.19000005722046</v>
      </c>
      <c r="F56" s="1">
        <v>0.0</v>
      </c>
      <c r="G56" s="1">
        <v>0.0</v>
      </c>
      <c r="H56" s="1">
        <v>0.0</v>
      </c>
      <c r="I56" s="1">
        <v>4.19000005722046</v>
      </c>
      <c r="J56" s="1">
        <v>0.0</v>
      </c>
      <c r="K56" s="1">
        <v>0.0</v>
      </c>
      <c r="L56" s="1">
        <v>0.0</v>
      </c>
      <c r="M56" s="1">
        <v>290.0</v>
      </c>
      <c r="N56" s="1">
        <v>1150.0</v>
      </c>
      <c r="O56" s="1">
        <v>1965.0</v>
      </c>
      <c r="P56" s="4">
        <f t="shared" si="1"/>
        <v>4</v>
      </c>
      <c r="Q56" s="4" t="str">
        <f t="shared" si="2"/>
        <v>Thursday</v>
      </c>
      <c r="R56" s="4">
        <f t="shared" si="3"/>
        <v>8.380000114</v>
      </c>
      <c r="S56" s="2">
        <f t="shared" si="4"/>
        <v>0</v>
      </c>
      <c r="T56" s="4" t="str">
        <f t="shared" si="5"/>
        <v>Low</v>
      </c>
    </row>
    <row r="57">
      <c r="A57" s="1">
        <v>1.844505072E9</v>
      </c>
      <c r="B57" s="3">
        <v>42468.0</v>
      </c>
      <c r="C57" s="1">
        <v>5316.0</v>
      </c>
      <c r="D57" s="1">
        <v>3.50999999046326</v>
      </c>
      <c r="E57" s="1">
        <v>3.50999999046326</v>
      </c>
      <c r="F57" s="1">
        <v>0.0</v>
      </c>
      <c r="G57" s="1">
        <v>0.0</v>
      </c>
      <c r="H57" s="1">
        <v>0.0</v>
      </c>
      <c r="I57" s="1">
        <v>3.50999999046326</v>
      </c>
      <c r="J57" s="1">
        <v>0.0</v>
      </c>
      <c r="K57" s="1">
        <v>0.0</v>
      </c>
      <c r="L57" s="1">
        <v>0.0</v>
      </c>
      <c r="M57" s="1">
        <v>221.0</v>
      </c>
      <c r="N57" s="1">
        <v>1219.0</v>
      </c>
      <c r="O57" s="1">
        <v>1824.0</v>
      </c>
      <c r="P57" s="4">
        <f t="shared" si="1"/>
        <v>5</v>
      </c>
      <c r="Q57" s="4" t="str">
        <f t="shared" si="2"/>
        <v>Friday</v>
      </c>
      <c r="R57" s="4">
        <f t="shared" si="3"/>
        <v>7.019999981</v>
      </c>
      <c r="S57" s="2">
        <f t="shared" si="4"/>
        <v>0</v>
      </c>
      <c r="T57" s="4" t="str">
        <f t="shared" si="5"/>
        <v>Low</v>
      </c>
    </row>
    <row r="58">
      <c r="A58" s="1">
        <v>1.844505072E9</v>
      </c>
      <c r="B58" s="3">
        <v>42469.0</v>
      </c>
      <c r="C58" s="1">
        <v>4979.0</v>
      </c>
      <c r="D58" s="1">
        <v>3.28999996185303</v>
      </c>
      <c r="E58" s="1">
        <v>3.28999996185303</v>
      </c>
      <c r="F58" s="1">
        <v>0.0</v>
      </c>
      <c r="G58" s="1">
        <v>0.0</v>
      </c>
      <c r="H58" s="1">
        <v>0.0</v>
      </c>
      <c r="I58" s="1">
        <v>3.28999996185303</v>
      </c>
      <c r="J58" s="1">
        <v>0.0</v>
      </c>
      <c r="K58" s="1">
        <v>0.0</v>
      </c>
      <c r="L58" s="1">
        <v>0.0</v>
      </c>
      <c r="M58" s="1">
        <v>184.0</v>
      </c>
      <c r="N58" s="1">
        <v>620.0</v>
      </c>
      <c r="O58" s="1">
        <v>1807.0</v>
      </c>
      <c r="P58" s="4">
        <f t="shared" si="1"/>
        <v>6</v>
      </c>
      <c r="Q58" s="4" t="str">
        <f t="shared" si="2"/>
        <v>Saturday</v>
      </c>
      <c r="R58" s="4">
        <f t="shared" si="3"/>
        <v>6.579999924</v>
      </c>
      <c r="S58" s="2">
        <f t="shared" si="4"/>
        <v>0</v>
      </c>
      <c r="T58" s="4" t="str">
        <f t="shared" si="5"/>
        <v>Low</v>
      </c>
    </row>
    <row r="59">
      <c r="A59" s="1">
        <v>1.844505072E9</v>
      </c>
      <c r="B59" s="3">
        <v>42470.0</v>
      </c>
      <c r="C59" s="1">
        <v>6556.0</v>
      </c>
      <c r="D59" s="1">
        <v>4.34000015258789</v>
      </c>
      <c r="E59" s="1">
        <v>4.34000015258789</v>
      </c>
      <c r="F59" s="1">
        <v>0.0</v>
      </c>
      <c r="G59" s="1">
        <v>0.0</v>
      </c>
      <c r="H59" s="1">
        <v>0.0</v>
      </c>
      <c r="I59" s="1">
        <v>4.32999992370605</v>
      </c>
      <c r="J59" s="1">
        <v>0.0</v>
      </c>
      <c r="K59" s="1">
        <v>0.0</v>
      </c>
      <c r="L59" s="1">
        <v>0.0</v>
      </c>
      <c r="M59" s="1">
        <v>305.0</v>
      </c>
      <c r="N59" s="1">
        <v>810.0</v>
      </c>
      <c r="O59" s="1">
        <v>1971.0</v>
      </c>
      <c r="P59" s="4">
        <f t="shared" si="1"/>
        <v>7</v>
      </c>
      <c r="Q59" s="4" t="str">
        <f t="shared" si="2"/>
        <v>Sunday</v>
      </c>
      <c r="R59" s="4">
        <f t="shared" si="3"/>
        <v>8.680000305</v>
      </c>
      <c r="S59" s="2">
        <f t="shared" si="4"/>
        <v>0</v>
      </c>
      <c r="T59" s="4" t="str">
        <f t="shared" si="5"/>
        <v>Low</v>
      </c>
    </row>
    <row r="60">
      <c r="A60" s="1">
        <v>1.844505072E9</v>
      </c>
      <c r="B60" s="3">
        <v>42471.0</v>
      </c>
      <c r="C60" s="1">
        <v>5430.0</v>
      </c>
      <c r="D60" s="1">
        <v>3.58999991416931</v>
      </c>
      <c r="E60" s="1">
        <v>3.58999991416931</v>
      </c>
      <c r="F60" s="1">
        <v>0.0</v>
      </c>
      <c r="G60" s="1">
        <v>0.0</v>
      </c>
      <c r="H60" s="1">
        <v>0.0</v>
      </c>
      <c r="I60" s="1">
        <v>3.58999991416931</v>
      </c>
      <c r="J60" s="1">
        <v>0.0</v>
      </c>
      <c r="K60" s="1">
        <v>0.0</v>
      </c>
      <c r="L60" s="1">
        <v>0.0</v>
      </c>
      <c r="M60" s="1">
        <v>251.0</v>
      </c>
      <c r="N60" s="1">
        <v>1189.0</v>
      </c>
      <c r="O60" s="1">
        <v>1888.0</v>
      </c>
      <c r="P60" s="4">
        <f t="shared" si="1"/>
        <v>1</v>
      </c>
      <c r="Q60" s="4" t="str">
        <f t="shared" si="2"/>
        <v>Monday</v>
      </c>
      <c r="R60" s="4">
        <f t="shared" si="3"/>
        <v>7.179999828</v>
      </c>
      <c r="S60" s="2">
        <f t="shared" si="4"/>
        <v>0</v>
      </c>
      <c r="T60" s="4" t="str">
        <f t="shared" si="5"/>
        <v>Low</v>
      </c>
    </row>
    <row r="61">
      <c r="A61" s="1">
        <v>1.844505072E9</v>
      </c>
      <c r="B61" s="3">
        <v>42472.0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426.0</v>
      </c>
      <c r="O61" s="1">
        <v>399.0</v>
      </c>
      <c r="P61" s="4">
        <f t="shared" si="1"/>
        <v>2</v>
      </c>
      <c r="Q61" s="4" t="str">
        <f t="shared" si="2"/>
        <v>Tuesday</v>
      </c>
      <c r="R61" s="4">
        <f t="shared" si="3"/>
        <v>0</v>
      </c>
      <c r="S61" s="2">
        <f t="shared" si="4"/>
        <v>0</v>
      </c>
      <c r="T61" s="4" t="str">
        <f t="shared" si="5"/>
        <v>Low</v>
      </c>
    </row>
    <row r="62">
      <c r="A62" s="1">
        <v>1.927972279E9</v>
      </c>
      <c r="B62" s="3">
        <v>42461.0</v>
      </c>
      <c r="C62" s="1">
        <v>4317.0</v>
      </c>
      <c r="D62" s="1">
        <v>2.99000000953674</v>
      </c>
      <c r="E62" s="1">
        <v>2.99000000953674</v>
      </c>
      <c r="F62" s="1">
        <v>0.0</v>
      </c>
      <c r="G62" s="1">
        <v>0.0</v>
      </c>
      <c r="H62" s="1">
        <v>0.370000004768372</v>
      </c>
      <c r="I62" s="1">
        <v>2.61999988555908</v>
      </c>
      <c r="J62" s="1">
        <v>0.0</v>
      </c>
      <c r="K62" s="1">
        <v>0.0</v>
      </c>
      <c r="L62" s="1">
        <v>11.0</v>
      </c>
      <c r="M62" s="1">
        <v>192.0</v>
      </c>
      <c r="N62" s="1">
        <v>854.0</v>
      </c>
      <c r="O62" s="1">
        <v>2590.0</v>
      </c>
      <c r="P62" s="4">
        <f t="shared" si="1"/>
        <v>5</v>
      </c>
      <c r="Q62" s="4" t="str">
        <f t="shared" si="2"/>
        <v>Friday</v>
      </c>
      <c r="R62" s="4">
        <f t="shared" si="3"/>
        <v>5.980000019</v>
      </c>
      <c r="S62" s="2">
        <f t="shared" si="4"/>
        <v>0.01040681173</v>
      </c>
      <c r="T62" s="4" t="str">
        <f t="shared" si="5"/>
        <v>Low</v>
      </c>
    </row>
    <row r="63">
      <c r="A63" s="1">
        <v>1.927972279E9</v>
      </c>
      <c r="B63" s="3">
        <v>42462.0</v>
      </c>
      <c r="C63" s="1">
        <v>5662.0</v>
      </c>
      <c r="D63" s="1">
        <v>3.92000007629395</v>
      </c>
      <c r="E63" s="1">
        <v>3.92000007629395</v>
      </c>
      <c r="F63" s="1">
        <v>0.0</v>
      </c>
      <c r="G63" s="1">
        <v>0.0</v>
      </c>
      <c r="H63" s="1">
        <v>0.0</v>
      </c>
      <c r="I63" s="1">
        <v>3.92000007629395</v>
      </c>
      <c r="J63" s="1">
        <v>0.0</v>
      </c>
      <c r="K63" s="1">
        <v>0.0</v>
      </c>
      <c r="L63" s="1">
        <v>0.0</v>
      </c>
      <c r="M63" s="1">
        <v>267.0</v>
      </c>
      <c r="N63" s="1">
        <v>858.0</v>
      </c>
      <c r="O63" s="1">
        <v>2783.0</v>
      </c>
      <c r="P63" s="4">
        <f t="shared" si="1"/>
        <v>6</v>
      </c>
      <c r="Q63" s="4" t="str">
        <f t="shared" si="2"/>
        <v>Saturday</v>
      </c>
      <c r="R63" s="4">
        <f t="shared" si="3"/>
        <v>7.840000153</v>
      </c>
      <c r="S63" s="2">
        <f t="shared" si="4"/>
        <v>0</v>
      </c>
      <c r="T63" s="4" t="str">
        <f t="shared" si="5"/>
        <v>Low</v>
      </c>
    </row>
    <row r="64">
      <c r="A64" s="1">
        <v>1.927972279E9</v>
      </c>
      <c r="B64" s="3">
        <v>42463.0</v>
      </c>
      <c r="C64" s="1">
        <v>3198.0</v>
      </c>
      <c r="D64" s="1">
        <v>2.21000003814697</v>
      </c>
      <c r="E64" s="1">
        <v>2.21000003814697</v>
      </c>
      <c r="F64" s="1">
        <v>0.0</v>
      </c>
      <c r="G64" s="1">
        <v>0.0</v>
      </c>
      <c r="H64" s="1">
        <v>0.0</v>
      </c>
      <c r="I64" s="1">
        <v>2.21000003814697</v>
      </c>
      <c r="J64" s="1">
        <v>0.0</v>
      </c>
      <c r="K64" s="1">
        <v>0.0</v>
      </c>
      <c r="L64" s="1">
        <v>0.0</v>
      </c>
      <c r="M64" s="1">
        <v>146.0</v>
      </c>
      <c r="N64" s="1">
        <v>1183.0</v>
      </c>
      <c r="O64" s="1">
        <v>2449.0</v>
      </c>
      <c r="P64" s="4">
        <f t="shared" si="1"/>
        <v>7</v>
      </c>
      <c r="Q64" s="4" t="str">
        <f t="shared" si="2"/>
        <v>Sunday</v>
      </c>
      <c r="R64" s="4">
        <f t="shared" si="3"/>
        <v>4.420000076</v>
      </c>
      <c r="S64" s="2">
        <f t="shared" si="4"/>
        <v>0</v>
      </c>
      <c r="T64" s="4" t="str">
        <f t="shared" si="5"/>
        <v>Low</v>
      </c>
    </row>
    <row r="65">
      <c r="A65" s="1">
        <v>1.927972279E9</v>
      </c>
      <c r="B65" s="3">
        <v>42464.0</v>
      </c>
      <c r="C65" s="1">
        <v>2352.0</v>
      </c>
      <c r="D65" s="1">
        <v>1.62999999523163</v>
      </c>
      <c r="E65" s="1">
        <v>1.62999999523163</v>
      </c>
      <c r="F65" s="1">
        <v>0.0</v>
      </c>
      <c r="G65" s="1">
        <v>0.0</v>
      </c>
      <c r="H65" s="1">
        <v>0.0</v>
      </c>
      <c r="I65" s="1">
        <v>1.62999999523163</v>
      </c>
      <c r="J65" s="1">
        <v>0.0</v>
      </c>
      <c r="K65" s="1">
        <v>0.0</v>
      </c>
      <c r="L65" s="1">
        <v>0.0</v>
      </c>
      <c r="M65" s="1">
        <v>128.0</v>
      </c>
      <c r="N65" s="1">
        <v>829.0</v>
      </c>
      <c r="O65" s="1">
        <v>2380.0</v>
      </c>
      <c r="P65" s="4">
        <f t="shared" si="1"/>
        <v>1</v>
      </c>
      <c r="Q65" s="4" t="str">
        <f t="shared" si="2"/>
        <v>Monday</v>
      </c>
      <c r="R65" s="4">
        <f t="shared" si="3"/>
        <v>3.25999999</v>
      </c>
      <c r="S65" s="2">
        <f t="shared" si="4"/>
        <v>0</v>
      </c>
      <c r="T65" s="4" t="str">
        <f t="shared" si="5"/>
        <v>Low</v>
      </c>
    </row>
    <row r="66">
      <c r="A66" s="1">
        <v>1.927972279E9</v>
      </c>
      <c r="B66" s="3">
        <v>42465.0</v>
      </c>
      <c r="C66" s="1">
        <v>2234.0</v>
      </c>
      <c r="D66" s="1">
        <v>1.54999995231628</v>
      </c>
      <c r="E66" s="1">
        <v>1.54999995231628</v>
      </c>
      <c r="F66" s="1">
        <v>0.0</v>
      </c>
      <c r="G66" s="1">
        <v>0.0</v>
      </c>
      <c r="H66" s="1">
        <v>0.0</v>
      </c>
      <c r="I66" s="1">
        <v>1.54999995231628</v>
      </c>
      <c r="J66" s="1">
        <v>0.0</v>
      </c>
      <c r="K66" s="1">
        <v>0.0</v>
      </c>
      <c r="L66" s="1">
        <v>0.0</v>
      </c>
      <c r="M66" s="1">
        <v>108.0</v>
      </c>
      <c r="N66" s="1">
        <v>912.0</v>
      </c>
      <c r="O66" s="1">
        <v>2344.0</v>
      </c>
      <c r="P66" s="4">
        <f t="shared" si="1"/>
        <v>2</v>
      </c>
      <c r="Q66" s="4" t="str">
        <f t="shared" si="2"/>
        <v>Tuesday</v>
      </c>
      <c r="R66" s="4">
        <f t="shared" si="3"/>
        <v>3.099999905</v>
      </c>
      <c r="S66" s="2">
        <f t="shared" si="4"/>
        <v>0</v>
      </c>
      <c r="T66" s="4" t="str">
        <f t="shared" si="5"/>
        <v>Low</v>
      </c>
    </row>
    <row r="67">
      <c r="A67" s="1">
        <v>1.927972279E9</v>
      </c>
      <c r="B67" s="3">
        <v>42466.0</v>
      </c>
      <c r="C67" s="1">
        <v>1259.0</v>
      </c>
      <c r="D67" s="1">
        <v>0.870000004768372</v>
      </c>
      <c r="E67" s="1">
        <v>0.870000004768372</v>
      </c>
      <c r="F67" s="1">
        <v>0.0</v>
      </c>
      <c r="G67" s="1">
        <v>0.0</v>
      </c>
      <c r="H67" s="1">
        <v>0.0</v>
      </c>
      <c r="I67" s="1">
        <v>0.870000004768372</v>
      </c>
      <c r="J67" s="1">
        <v>0.0</v>
      </c>
      <c r="K67" s="1">
        <v>0.0</v>
      </c>
      <c r="L67" s="1">
        <v>0.0</v>
      </c>
      <c r="M67" s="1">
        <v>73.0</v>
      </c>
      <c r="N67" s="1">
        <v>938.0</v>
      </c>
      <c r="O67" s="1">
        <v>2202.0</v>
      </c>
      <c r="P67" s="4">
        <f t="shared" si="1"/>
        <v>3</v>
      </c>
      <c r="Q67" s="4" t="str">
        <f t="shared" si="2"/>
        <v>Wednesday</v>
      </c>
      <c r="R67" s="4">
        <f t="shared" si="3"/>
        <v>1.74000001</v>
      </c>
      <c r="S67" s="2">
        <f t="shared" si="4"/>
        <v>0</v>
      </c>
      <c r="T67" s="4" t="str">
        <f t="shared" si="5"/>
        <v>Low</v>
      </c>
    </row>
    <row r="68">
      <c r="A68" s="1">
        <v>1.927972279E9</v>
      </c>
      <c r="B68" s="3">
        <v>42467.0</v>
      </c>
      <c r="C68" s="1">
        <v>768.0</v>
      </c>
      <c r="D68" s="1">
        <v>0.529999971389771</v>
      </c>
      <c r="E68" s="1">
        <v>0.529999971389771</v>
      </c>
      <c r="F68" s="1">
        <v>0.0</v>
      </c>
      <c r="G68" s="1">
        <v>0.0</v>
      </c>
      <c r="H68" s="1">
        <v>0.0</v>
      </c>
      <c r="I68" s="1">
        <v>0.529999971389771</v>
      </c>
      <c r="J68" s="1">
        <v>0.0</v>
      </c>
      <c r="K68" s="1">
        <v>0.0</v>
      </c>
      <c r="L68" s="1">
        <v>0.0</v>
      </c>
      <c r="M68" s="1">
        <v>43.0</v>
      </c>
      <c r="N68" s="1">
        <v>1397.0</v>
      </c>
      <c r="O68" s="1">
        <v>2130.0</v>
      </c>
      <c r="P68" s="4">
        <f t="shared" si="1"/>
        <v>4</v>
      </c>
      <c r="Q68" s="4" t="str">
        <f t="shared" si="2"/>
        <v>Thursday</v>
      </c>
      <c r="R68" s="4">
        <f t="shared" si="3"/>
        <v>1.059999943</v>
      </c>
      <c r="S68" s="2">
        <f t="shared" si="4"/>
        <v>0</v>
      </c>
      <c r="T68" s="4" t="str">
        <f t="shared" si="5"/>
        <v>Low</v>
      </c>
    </row>
    <row r="69">
      <c r="A69" s="1">
        <v>1.927972279E9</v>
      </c>
      <c r="B69" s="3">
        <v>42468.0</v>
      </c>
      <c r="C69" s="1">
        <v>519.0</v>
      </c>
      <c r="D69" s="1">
        <v>0.360000014305115</v>
      </c>
      <c r="E69" s="1">
        <v>0.360000014305115</v>
      </c>
      <c r="F69" s="1">
        <v>0.0</v>
      </c>
      <c r="G69" s="1">
        <v>0.0</v>
      </c>
      <c r="H69" s="1">
        <v>0.0</v>
      </c>
      <c r="I69" s="1">
        <v>0.360000014305115</v>
      </c>
      <c r="J69" s="1">
        <v>0.0</v>
      </c>
      <c r="K69" s="1">
        <v>0.0</v>
      </c>
      <c r="L69" s="1">
        <v>0.0</v>
      </c>
      <c r="M69" s="1">
        <v>34.0</v>
      </c>
      <c r="N69" s="1">
        <v>1406.0</v>
      </c>
      <c r="O69" s="1">
        <v>2088.0</v>
      </c>
      <c r="P69" s="4">
        <f t="shared" si="1"/>
        <v>5</v>
      </c>
      <c r="Q69" s="4" t="str">
        <f t="shared" si="2"/>
        <v>Friday</v>
      </c>
      <c r="R69" s="4">
        <f t="shared" si="3"/>
        <v>0.7200000286</v>
      </c>
      <c r="S69" s="2">
        <f t="shared" si="4"/>
        <v>0</v>
      </c>
      <c r="T69" s="4" t="str">
        <f t="shared" si="5"/>
        <v>Low</v>
      </c>
    </row>
    <row r="70">
      <c r="A70" s="1">
        <v>1.927972279E9</v>
      </c>
      <c r="B70" s="3">
        <v>42469.0</v>
      </c>
      <c r="C70" s="1">
        <v>2523.0</v>
      </c>
      <c r="D70" s="1">
        <v>1.75</v>
      </c>
      <c r="E70" s="1">
        <v>1.75</v>
      </c>
      <c r="F70" s="1">
        <v>0.0</v>
      </c>
      <c r="G70" s="1">
        <v>0.0</v>
      </c>
      <c r="H70" s="1">
        <v>0.370000004768372</v>
      </c>
      <c r="I70" s="1">
        <v>1.37999999523163</v>
      </c>
      <c r="J70" s="1">
        <v>0.0</v>
      </c>
      <c r="K70" s="1">
        <v>0.0</v>
      </c>
      <c r="L70" s="1">
        <v>9.0</v>
      </c>
      <c r="M70" s="1">
        <v>134.0</v>
      </c>
      <c r="N70" s="1">
        <v>1250.0</v>
      </c>
      <c r="O70" s="1">
        <v>2443.0</v>
      </c>
      <c r="P70" s="4">
        <f t="shared" si="1"/>
        <v>6</v>
      </c>
      <c r="Q70" s="4" t="str">
        <f t="shared" si="2"/>
        <v>Saturday</v>
      </c>
      <c r="R70" s="4">
        <f t="shared" si="3"/>
        <v>3.5</v>
      </c>
      <c r="S70" s="2">
        <f t="shared" si="4"/>
        <v>0.006460875808</v>
      </c>
      <c r="T70" s="4" t="str">
        <f t="shared" si="5"/>
        <v>Low</v>
      </c>
    </row>
    <row r="71">
      <c r="A71" s="1">
        <v>1.927972279E9</v>
      </c>
      <c r="B71" s="3">
        <v>42470.0</v>
      </c>
      <c r="C71" s="1">
        <v>2105.0</v>
      </c>
      <c r="D71" s="1">
        <v>1.46000003814697</v>
      </c>
      <c r="E71" s="1">
        <v>1.46000003814697</v>
      </c>
      <c r="F71" s="1">
        <v>0.0</v>
      </c>
      <c r="G71" s="1">
        <v>0.0</v>
      </c>
      <c r="H71" s="1">
        <v>0.0</v>
      </c>
      <c r="I71" s="1">
        <v>1.46000003814697</v>
      </c>
      <c r="J71" s="1">
        <v>0.0</v>
      </c>
      <c r="K71" s="1">
        <v>0.0</v>
      </c>
      <c r="L71" s="1">
        <v>0.0</v>
      </c>
      <c r="M71" s="1">
        <v>139.0</v>
      </c>
      <c r="N71" s="1">
        <v>805.0</v>
      </c>
      <c r="O71" s="1">
        <v>2442.0</v>
      </c>
      <c r="P71" s="4">
        <f t="shared" si="1"/>
        <v>7</v>
      </c>
      <c r="Q71" s="4" t="str">
        <f t="shared" si="2"/>
        <v>Sunday</v>
      </c>
      <c r="R71" s="4">
        <f t="shared" si="3"/>
        <v>2.920000076</v>
      </c>
      <c r="S71" s="2">
        <f t="shared" si="4"/>
        <v>0</v>
      </c>
      <c r="T71" s="4" t="str">
        <f t="shared" si="5"/>
        <v>Low</v>
      </c>
    </row>
    <row r="72">
      <c r="A72" s="1">
        <v>1.927972279E9</v>
      </c>
      <c r="B72" s="3">
        <v>42471.0</v>
      </c>
      <c r="C72" s="1">
        <v>1209.0</v>
      </c>
      <c r="D72" s="1">
        <v>0.839999973773956</v>
      </c>
      <c r="E72" s="1">
        <v>0.839999973773956</v>
      </c>
      <c r="F72" s="1">
        <v>0.0</v>
      </c>
      <c r="G72" s="1">
        <v>0.0</v>
      </c>
      <c r="H72" s="1">
        <v>0.0</v>
      </c>
      <c r="I72" s="1">
        <v>0.839999973773956</v>
      </c>
      <c r="J72" s="1">
        <v>0.0</v>
      </c>
      <c r="K72" s="1">
        <v>0.0</v>
      </c>
      <c r="L72" s="1">
        <v>0.0</v>
      </c>
      <c r="M72" s="1">
        <v>73.0</v>
      </c>
      <c r="N72" s="1">
        <v>842.0</v>
      </c>
      <c r="O72" s="1">
        <v>2255.0</v>
      </c>
      <c r="P72" s="4">
        <f t="shared" si="1"/>
        <v>1</v>
      </c>
      <c r="Q72" s="4" t="str">
        <f t="shared" si="2"/>
        <v>Monday</v>
      </c>
      <c r="R72" s="4">
        <f t="shared" si="3"/>
        <v>1.679999948</v>
      </c>
      <c r="S72" s="2">
        <f t="shared" si="4"/>
        <v>0</v>
      </c>
      <c r="T72" s="4" t="str">
        <f t="shared" si="5"/>
        <v>Low</v>
      </c>
    </row>
    <row r="73">
      <c r="A73" s="1">
        <v>1.927972279E9</v>
      </c>
      <c r="B73" s="3">
        <v>42472.0</v>
      </c>
      <c r="C73" s="1">
        <v>24.0</v>
      </c>
      <c r="D73" s="1">
        <v>0.0199999995529652</v>
      </c>
      <c r="E73" s="1">
        <v>0.0199999995529652</v>
      </c>
      <c r="F73" s="1">
        <v>0.0</v>
      </c>
      <c r="G73" s="1">
        <v>0.0</v>
      </c>
      <c r="H73" s="1">
        <v>0.0</v>
      </c>
      <c r="I73" s="1">
        <v>0.0199999995529652</v>
      </c>
      <c r="J73" s="1">
        <v>0.0</v>
      </c>
      <c r="K73" s="1">
        <v>0.0</v>
      </c>
      <c r="L73" s="1">
        <v>0.0</v>
      </c>
      <c r="M73" s="1">
        <v>3.0</v>
      </c>
      <c r="N73" s="1">
        <v>161.0</v>
      </c>
      <c r="O73" s="1">
        <v>942.0</v>
      </c>
      <c r="P73" s="4">
        <f t="shared" si="1"/>
        <v>2</v>
      </c>
      <c r="Q73" s="4" t="str">
        <f t="shared" si="2"/>
        <v>Tuesday</v>
      </c>
      <c r="R73" s="4">
        <f t="shared" si="3"/>
        <v>0.03999999911</v>
      </c>
      <c r="S73" s="2">
        <f t="shared" si="4"/>
        <v>0</v>
      </c>
      <c r="T73" s="4" t="str">
        <f t="shared" si="5"/>
        <v>Low</v>
      </c>
    </row>
    <row r="74">
      <c r="A74" s="1">
        <v>2.022484408E9</v>
      </c>
      <c r="B74" s="3">
        <v>42461.0</v>
      </c>
      <c r="C74" s="1">
        <v>13603.0</v>
      </c>
      <c r="D74" s="1">
        <v>9.60000038146973</v>
      </c>
      <c r="E74" s="1">
        <v>9.60000038146973</v>
      </c>
      <c r="F74" s="1">
        <v>0.0</v>
      </c>
      <c r="G74" s="1">
        <v>5.46000003814697</v>
      </c>
      <c r="H74" s="1">
        <v>0.629999995231628</v>
      </c>
      <c r="I74" s="1">
        <v>3.50999999046326</v>
      </c>
      <c r="J74" s="1">
        <v>0.0</v>
      </c>
      <c r="K74" s="1">
        <v>72.0</v>
      </c>
      <c r="L74" s="1">
        <v>16.0</v>
      </c>
      <c r="M74" s="1">
        <v>213.0</v>
      </c>
      <c r="N74" s="1">
        <v>1139.0</v>
      </c>
      <c r="O74" s="1">
        <v>2645.0</v>
      </c>
      <c r="P74" s="4">
        <f t="shared" si="1"/>
        <v>5</v>
      </c>
      <c r="Q74" s="4" t="str">
        <f t="shared" si="2"/>
        <v>Friday</v>
      </c>
      <c r="R74" s="4">
        <f t="shared" si="3"/>
        <v>19.20000076</v>
      </c>
      <c r="S74" s="2">
        <f t="shared" si="4"/>
        <v>0.06111111111</v>
      </c>
      <c r="T74" s="4" t="str">
        <f t="shared" si="5"/>
        <v>High</v>
      </c>
    </row>
    <row r="75">
      <c r="A75" s="1">
        <v>2.022484408E9</v>
      </c>
      <c r="B75" s="3">
        <v>42462.0</v>
      </c>
      <c r="C75" s="1">
        <v>5477.0</v>
      </c>
      <c r="D75" s="1">
        <v>3.83999991416931</v>
      </c>
      <c r="E75" s="1">
        <v>3.83999991416931</v>
      </c>
      <c r="F75" s="1">
        <v>0.0</v>
      </c>
      <c r="G75" s="1">
        <v>0.0</v>
      </c>
      <c r="H75" s="1">
        <v>0.0</v>
      </c>
      <c r="I75" s="1">
        <v>3.83999991416931</v>
      </c>
      <c r="J75" s="1">
        <v>0.0</v>
      </c>
      <c r="K75" s="1">
        <v>0.0</v>
      </c>
      <c r="L75" s="1">
        <v>0.0</v>
      </c>
      <c r="M75" s="1">
        <v>237.0</v>
      </c>
      <c r="N75" s="1">
        <v>1203.0</v>
      </c>
      <c r="O75" s="1">
        <v>2040.0</v>
      </c>
      <c r="P75" s="4">
        <f t="shared" si="1"/>
        <v>6</v>
      </c>
      <c r="Q75" s="4" t="str">
        <f t="shared" si="2"/>
        <v>Saturday</v>
      </c>
      <c r="R75" s="4">
        <f t="shared" si="3"/>
        <v>7.679999828</v>
      </c>
      <c r="S75" s="2">
        <f t="shared" si="4"/>
        <v>0</v>
      </c>
      <c r="T75" s="4" t="str">
        <f t="shared" si="5"/>
        <v>Low</v>
      </c>
    </row>
    <row r="76">
      <c r="A76" s="1">
        <v>2.022484408E9</v>
      </c>
      <c r="B76" s="3">
        <v>42463.0</v>
      </c>
      <c r="C76" s="1">
        <v>11144.0</v>
      </c>
      <c r="D76" s="1">
        <v>7.82000017166138</v>
      </c>
      <c r="E76" s="1">
        <v>7.82000017166138</v>
      </c>
      <c r="F76" s="1">
        <v>0.0</v>
      </c>
      <c r="G76" s="1">
        <v>1.78999996185303</v>
      </c>
      <c r="H76" s="1">
        <v>0.889999985694885</v>
      </c>
      <c r="I76" s="1">
        <v>5.1399998664856</v>
      </c>
      <c r="J76" s="1">
        <v>0.0</v>
      </c>
      <c r="K76" s="1">
        <v>25.0</v>
      </c>
      <c r="L76" s="1">
        <v>22.0</v>
      </c>
      <c r="M76" s="1">
        <v>279.0</v>
      </c>
      <c r="N76" s="1">
        <v>1114.0</v>
      </c>
      <c r="O76" s="1">
        <v>2395.0</v>
      </c>
      <c r="P76" s="4">
        <f t="shared" si="1"/>
        <v>7</v>
      </c>
      <c r="Q76" s="4" t="str">
        <f t="shared" si="2"/>
        <v>Sunday</v>
      </c>
      <c r="R76" s="4">
        <f t="shared" si="3"/>
        <v>15.64000034</v>
      </c>
      <c r="S76" s="2">
        <f t="shared" si="4"/>
        <v>0.03263888889</v>
      </c>
      <c r="T76" s="4" t="str">
        <f t="shared" si="5"/>
        <v>Moderate</v>
      </c>
    </row>
    <row r="77">
      <c r="A77" s="1">
        <v>2.022484408E9</v>
      </c>
      <c r="B77" s="3">
        <v>42464.0</v>
      </c>
      <c r="C77" s="1">
        <v>15313.0</v>
      </c>
      <c r="D77" s="1">
        <v>11.0</v>
      </c>
      <c r="E77" s="1">
        <v>11.0</v>
      </c>
      <c r="F77" s="1">
        <v>0.0</v>
      </c>
      <c r="G77" s="1">
        <v>5.01999998092651</v>
      </c>
      <c r="H77" s="1">
        <v>1.28999996185303</v>
      </c>
      <c r="I77" s="1">
        <v>4.69000005722046</v>
      </c>
      <c r="J77" s="1">
        <v>0.0</v>
      </c>
      <c r="K77" s="1">
        <v>62.0</v>
      </c>
      <c r="L77" s="1">
        <v>19.0</v>
      </c>
      <c r="M77" s="1">
        <v>233.0</v>
      </c>
      <c r="N77" s="1">
        <v>1126.0</v>
      </c>
      <c r="O77" s="1">
        <v>2581.0</v>
      </c>
      <c r="P77" s="4">
        <f t="shared" si="1"/>
        <v>1</v>
      </c>
      <c r="Q77" s="4" t="str">
        <f t="shared" si="2"/>
        <v>Monday</v>
      </c>
      <c r="R77" s="4">
        <f t="shared" si="3"/>
        <v>22</v>
      </c>
      <c r="S77" s="2">
        <f t="shared" si="4"/>
        <v>0.05625</v>
      </c>
      <c r="T77" s="4" t="str">
        <f t="shared" si="5"/>
        <v>High</v>
      </c>
    </row>
    <row r="78">
      <c r="A78" s="1">
        <v>2.022484408E9</v>
      </c>
      <c r="B78" s="3">
        <v>42465.0</v>
      </c>
      <c r="C78" s="1">
        <v>10805.0</v>
      </c>
      <c r="D78" s="1">
        <v>7.59000015258789</v>
      </c>
      <c r="E78" s="1">
        <v>7.59000015258789</v>
      </c>
      <c r="F78" s="1">
        <v>0.0</v>
      </c>
      <c r="G78" s="1">
        <v>0.720000028610229</v>
      </c>
      <c r="H78" s="1">
        <v>0.980000019073486</v>
      </c>
      <c r="I78" s="1">
        <v>5.8899998664856</v>
      </c>
      <c r="J78" s="1">
        <v>0.0</v>
      </c>
      <c r="K78" s="1">
        <v>36.0</v>
      </c>
      <c r="L78" s="1">
        <v>37.0</v>
      </c>
      <c r="M78" s="1">
        <v>298.0</v>
      </c>
      <c r="N78" s="1">
        <v>1069.0</v>
      </c>
      <c r="O78" s="1">
        <v>2735.0</v>
      </c>
      <c r="P78" s="4">
        <f t="shared" si="1"/>
        <v>2</v>
      </c>
      <c r="Q78" s="4" t="str">
        <f t="shared" si="2"/>
        <v>Tuesday</v>
      </c>
      <c r="R78" s="4">
        <f t="shared" si="3"/>
        <v>15.18000031</v>
      </c>
      <c r="S78" s="2">
        <f t="shared" si="4"/>
        <v>0.05069444444</v>
      </c>
      <c r="T78" s="4" t="str">
        <f t="shared" si="5"/>
        <v>High</v>
      </c>
    </row>
    <row r="79">
      <c r="A79" s="1">
        <v>2.022484408E9</v>
      </c>
      <c r="B79" s="3">
        <v>42466.0</v>
      </c>
      <c r="C79" s="1">
        <v>15392.0</v>
      </c>
      <c r="D79" s="1">
        <v>10.9300003051758</v>
      </c>
      <c r="E79" s="1">
        <v>10.9300003051758</v>
      </c>
      <c r="F79" s="1">
        <v>0.0</v>
      </c>
      <c r="G79" s="1">
        <v>3.4300000667572</v>
      </c>
      <c r="H79" s="1">
        <v>1.75</v>
      </c>
      <c r="I79" s="1">
        <v>5.75</v>
      </c>
      <c r="J79" s="1">
        <v>0.0</v>
      </c>
      <c r="K79" s="1">
        <v>47.0</v>
      </c>
      <c r="L79" s="1">
        <v>42.0</v>
      </c>
      <c r="M79" s="1">
        <v>258.0</v>
      </c>
      <c r="N79" s="1">
        <v>1093.0</v>
      </c>
      <c r="O79" s="1">
        <v>2733.0</v>
      </c>
      <c r="P79" s="4">
        <f t="shared" si="1"/>
        <v>3</v>
      </c>
      <c r="Q79" s="4" t="str">
        <f t="shared" si="2"/>
        <v>Wednesday</v>
      </c>
      <c r="R79" s="4">
        <f t="shared" si="3"/>
        <v>21.86000061</v>
      </c>
      <c r="S79" s="2">
        <f t="shared" si="4"/>
        <v>0.06180555556</v>
      </c>
      <c r="T79" s="4" t="str">
        <f t="shared" si="5"/>
        <v>High</v>
      </c>
    </row>
    <row r="80">
      <c r="A80" s="1">
        <v>2.022484408E9</v>
      </c>
      <c r="B80" s="3">
        <v>42467.0</v>
      </c>
      <c r="C80" s="1">
        <v>18247.0</v>
      </c>
      <c r="D80" s="1">
        <v>13.8299999237061</v>
      </c>
      <c r="E80" s="1">
        <v>13.8299999237061</v>
      </c>
      <c r="F80" s="1">
        <v>0.0</v>
      </c>
      <c r="G80" s="1">
        <v>7.1100001335144</v>
      </c>
      <c r="H80" s="1">
        <v>2.21000003814697</v>
      </c>
      <c r="I80" s="1">
        <v>4.51000022888184</v>
      </c>
      <c r="J80" s="1">
        <v>0.0</v>
      </c>
      <c r="K80" s="1">
        <v>72.0</v>
      </c>
      <c r="L80" s="1">
        <v>62.0</v>
      </c>
      <c r="M80" s="1">
        <v>252.0</v>
      </c>
      <c r="N80" s="1">
        <v>1054.0</v>
      </c>
      <c r="O80" s="1">
        <v>3021.0</v>
      </c>
      <c r="P80" s="4">
        <f t="shared" si="1"/>
        <v>4</v>
      </c>
      <c r="Q80" s="4" t="str">
        <f t="shared" si="2"/>
        <v>Thursday</v>
      </c>
      <c r="R80" s="4">
        <f t="shared" si="3"/>
        <v>27.65999985</v>
      </c>
      <c r="S80" s="2">
        <f t="shared" si="4"/>
        <v>0.09305555556</v>
      </c>
      <c r="T80" s="4" t="str">
        <f t="shared" si="5"/>
        <v>High</v>
      </c>
    </row>
    <row r="81">
      <c r="A81" s="1">
        <v>2.022484408E9</v>
      </c>
      <c r="B81" s="3">
        <v>42468.0</v>
      </c>
      <c r="C81" s="1">
        <v>13023.0</v>
      </c>
      <c r="D81" s="1">
        <v>9.26000022888184</v>
      </c>
      <c r="E81" s="1">
        <v>9.26000022888184</v>
      </c>
      <c r="F81" s="1">
        <v>0.0</v>
      </c>
      <c r="G81" s="1">
        <v>3.23000001907349</v>
      </c>
      <c r="H81" s="1">
        <v>0.560000002384186</v>
      </c>
      <c r="I81" s="1">
        <v>5.46999979019165</v>
      </c>
      <c r="J81" s="1">
        <v>0.0</v>
      </c>
      <c r="K81" s="1">
        <v>40.0</v>
      </c>
      <c r="L81" s="1">
        <v>12.0</v>
      </c>
      <c r="M81" s="1">
        <v>296.0</v>
      </c>
      <c r="N81" s="1">
        <v>1092.0</v>
      </c>
      <c r="O81" s="1">
        <v>2577.0</v>
      </c>
      <c r="P81" s="4">
        <f t="shared" si="1"/>
        <v>5</v>
      </c>
      <c r="Q81" s="4" t="str">
        <f t="shared" si="2"/>
        <v>Friday</v>
      </c>
      <c r="R81" s="4">
        <f t="shared" si="3"/>
        <v>18.52000046</v>
      </c>
      <c r="S81" s="2">
        <f t="shared" si="4"/>
        <v>0.03611111111</v>
      </c>
      <c r="T81" s="4" t="str">
        <f t="shared" si="5"/>
        <v>High</v>
      </c>
    </row>
    <row r="82">
      <c r="A82" s="1">
        <v>2.022484408E9</v>
      </c>
      <c r="B82" s="3">
        <v>42469.0</v>
      </c>
      <c r="C82" s="1">
        <v>16267.0</v>
      </c>
      <c r="D82" s="1">
        <v>12.5900001525879</v>
      </c>
      <c r="E82" s="1">
        <v>12.5900001525879</v>
      </c>
      <c r="F82" s="1">
        <v>0.0</v>
      </c>
      <c r="G82" s="1">
        <v>5.75</v>
      </c>
      <c r="H82" s="1">
        <v>0.469999998807907</v>
      </c>
      <c r="I82" s="1">
        <v>6.36999988555908</v>
      </c>
      <c r="J82" s="1">
        <v>0.0</v>
      </c>
      <c r="K82" s="1">
        <v>44.0</v>
      </c>
      <c r="L82" s="1">
        <v>16.0</v>
      </c>
      <c r="M82" s="1">
        <v>302.0</v>
      </c>
      <c r="N82" s="1">
        <v>1078.0</v>
      </c>
      <c r="O82" s="1">
        <v>2811.0</v>
      </c>
      <c r="P82" s="4">
        <f t="shared" si="1"/>
        <v>6</v>
      </c>
      <c r="Q82" s="4" t="str">
        <f t="shared" si="2"/>
        <v>Saturday</v>
      </c>
      <c r="R82" s="4">
        <f t="shared" si="3"/>
        <v>25.18000031</v>
      </c>
      <c r="S82" s="2">
        <f t="shared" si="4"/>
        <v>0.04166666667</v>
      </c>
      <c r="T82" s="4" t="str">
        <f t="shared" si="5"/>
        <v>High</v>
      </c>
    </row>
    <row r="83">
      <c r="A83" s="1">
        <v>2.022484408E9</v>
      </c>
      <c r="B83" s="3">
        <v>42470.0</v>
      </c>
      <c r="C83" s="1">
        <v>10005.0</v>
      </c>
      <c r="D83" s="1">
        <v>7.01999998092651</v>
      </c>
      <c r="E83" s="1">
        <v>7.01999998092651</v>
      </c>
      <c r="F83" s="1">
        <v>0.0</v>
      </c>
      <c r="G83" s="1">
        <v>0.0799999982118607</v>
      </c>
      <c r="H83" s="1">
        <v>1.04999995231628</v>
      </c>
      <c r="I83" s="1">
        <v>5.90000009536743</v>
      </c>
      <c r="J83" s="1">
        <v>0.0</v>
      </c>
      <c r="K83" s="1">
        <v>1.0</v>
      </c>
      <c r="L83" s="1">
        <v>23.0</v>
      </c>
      <c r="M83" s="1">
        <v>339.0</v>
      </c>
      <c r="N83" s="1">
        <v>1077.0</v>
      </c>
      <c r="O83" s="1">
        <v>2458.0</v>
      </c>
      <c r="P83" s="4">
        <f t="shared" si="1"/>
        <v>7</v>
      </c>
      <c r="Q83" s="4" t="str">
        <f t="shared" si="2"/>
        <v>Sunday</v>
      </c>
      <c r="R83" s="4">
        <f t="shared" si="3"/>
        <v>14.03999996</v>
      </c>
      <c r="S83" s="2">
        <f t="shared" si="4"/>
        <v>0.01666666667</v>
      </c>
      <c r="T83" s="4" t="str">
        <f t="shared" si="5"/>
        <v>Low</v>
      </c>
    </row>
    <row r="84">
      <c r="A84" s="1">
        <v>2.022484408E9</v>
      </c>
      <c r="B84" s="3">
        <v>42471.0</v>
      </c>
      <c r="C84" s="1">
        <v>10106.0</v>
      </c>
      <c r="D84" s="1">
        <v>7.09000015258789</v>
      </c>
      <c r="E84" s="1">
        <v>7.09000015258789</v>
      </c>
      <c r="F84" s="1">
        <v>0.0</v>
      </c>
      <c r="G84" s="1">
        <v>1.21000003814697</v>
      </c>
      <c r="H84" s="1">
        <v>0.560000002384186</v>
      </c>
      <c r="I84" s="1">
        <v>5.32999992370605</v>
      </c>
      <c r="J84" s="1">
        <v>0.0</v>
      </c>
      <c r="K84" s="1">
        <v>41.0</v>
      </c>
      <c r="L84" s="1">
        <v>16.0</v>
      </c>
      <c r="M84" s="1">
        <v>272.0</v>
      </c>
      <c r="N84" s="1">
        <v>1111.0</v>
      </c>
      <c r="O84" s="1">
        <v>2568.0</v>
      </c>
      <c r="P84" s="4">
        <f t="shared" si="1"/>
        <v>1</v>
      </c>
      <c r="Q84" s="4" t="str">
        <f t="shared" si="2"/>
        <v>Monday</v>
      </c>
      <c r="R84" s="4">
        <f t="shared" si="3"/>
        <v>14.18000031</v>
      </c>
      <c r="S84" s="2">
        <f t="shared" si="4"/>
        <v>0.03958333333</v>
      </c>
      <c r="T84" s="4" t="str">
        <f t="shared" si="5"/>
        <v>High</v>
      </c>
    </row>
    <row r="85">
      <c r="A85" s="1">
        <v>2.022484408E9</v>
      </c>
      <c r="B85" s="3">
        <v>42472.0</v>
      </c>
      <c r="C85" s="1">
        <v>6717.0</v>
      </c>
      <c r="D85" s="1">
        <v>4.71999979019165</v>
      </c>
      <c r="E85" s="1">
        <v>4.71999979019165</v>
      </c>
      <c r="F85" s="1">
        <v>0.0</v>
      </c>
      <c r="G85" s="1">
        <v>3.23000001907349</v>
      </c>
      <c r="H85" s="1">
        <v>0.219999998807907</v>
      </c>
      <c r="I85" s="1">
        <v>1.26999998092651</v>
      </c>
      <c r="J85" s="1">
        <v>0.0</v>
      </c>
      <c r="K85" s="1">
        <v>41.0</v>
      </c>
      <c r="L85" s="1">
        <v>5.0</v>
      </c>
      <c r="M85" s="1">
        <v>67.0</v>
      </c>
      <c r="N85" s="1">
        <v>551.0</v>
      </c>
      <c r="O85" s="1">
        <v>1140.0</v>
      </c>
      <c r="P85" s="4">
        <f t="shared" si="1"/>
        <v>2</v>
      </c>
      <c r="Q85" s="4" t="str">
        <f t="shared" si="2"/>
        <v>Tuesday</v>
      </c>
      <c r="R85" s="4">
        <f t="shared" si="3"/>
        <v>9.43999958</v>
      </c>
      <c r="S85" s="2">
        <f t="shared" si="4"/>
        <v>0.06927710843</v>
      </c>
      <c r="T85" s="4" t="str">
        <f t="shared" si="5"/>
        <v>High</v>
      </c>
    </row>
    <row r="86">
      <c r="A86" s="1">
        <v>2.026352035E9</v>
      </c>
      <c r="B86" s="3">
        <v>42461.0</v>
      </c>
      <c r="C86" s="1">
        <v>2605.0</v>
      </c>
      <c r="D86" s="1">
        <v>1.62000000476837</v>
      </c>
      <c r="E86" s="1">
        <v>1.62000000476837</v>
      </c>
      <c r="F86" s="1">
        <v>0.0</v>
      </c>
      <c r="G86" s="1">
        <v>0.0</v>
      </c>
      <c r="H86" s="1">
        <v>0.0</v>
      </c>
      <c r="I86" s="1">
        <v>1.62000000476837</v>
      </c>
      <c r="J86" s="1">
        <v>0.0</v>
      </c>
      <c r="K86" s="1">
        <v>0.0</v>
      </c>
      <c r="L86" s="1">
        <v>0.0</v>
      </c>
      <c r="M86" s="1">
        <v>166.0</v>
      </c>
      <c r="N86" s="1">
        <v>729.0</v>
      </c>
      <c r="O86" s="1">
        <v>1407.0</v>
      </c>
      <c r="P86" s="4">
        <f t="shared" si="1"/>
        <v>5</v>
      </c>
      <c r="Q86" s="4" t="str">
        <f t="shared" si="2"/>
        <v>Friday</v>
      </c>
      <c r="R86" s="4">
        <f t="shared" si="3"/>
        <v>3.24000001</v>
      </c>
      <c r="S86" s="2">
        <f t="shared" si="4"/>
        <v>0</v>
      </c>
      <c r="T86" s="4" t="str">
        <f t="shared" si="5"/>
        <v>Low</v>
      </c>
    </row>
    <row r="87">
      <c r="A87" s="1">
        <v>2.026352035E9</v>
      </c>
      <c r="B87" s="3">
        <v>42462.0</v>
      </c>
      <c r="C87" s="1">
        <v>1229.0</v>
      </c>
      <c r="D87" s="1">
        <v>0.759999990463257</v>
      </c>
      <c r="E87" s="1">
        <v>0.759999990463257</v>
      </c>
      <c r="F87" s="1">
        <v>0.0</v>
      </c>
      <c r="G87" s="1">
        <v>0.0</v>
      </c>
      <c r="H87" s="1">
        <v>0.0</v>
      </c>
      <c r="I87" s="1">
        <v>0.759999990463257</v>
      </c>
      <c r="J87" s="1">
        <v>0.0</v>
      </c>
      <c r="K87" s="1">
        <v>0.0</v>
      </c>
      <c r="L87" s="1">
        <v>0.0</v>
      </c>
      <c r="M87" s="1">
        <v>69.0</v>
      </c>
      <c r="N87" s="1">
        <v>795.0</v>
      </c>
      <c r="O87" s="1">
        <v>1237.0</v>
      </c>
      <c r="P87" s="4">
        <f t="shared" si="1"/>
        <v>6</v>
      </c>
      <c r="Q87" s="4" t="str">
        <f t="shared" si="2"/>
        <v>Saturday</v>
      </c>
      <c r="R87" s="4">
        <f t="shared" si="3"/>
        <v>1.519999981</v>
      </c>
      <c r="S87" s="2">
        <f t="shared" si="4"/>
        <v>0</v>
      </c>
      <c r="T87" s="4" t="str">
        <f t="shared" si="5"/>
        <v>Low</v>
      </c>
    </row>
    <row r="88">
      <c r="A88" s="1">
        <v>2.026352035E9</v>
      </c>
      <c r="B88" s="3">
        <v>42463.0</v>
      </c>
      <c r="C88" s="1">
        <v>2308.0</v>
      </c>
      <c r="D88" s="1">
        <v>1.42999994754791</v>
      </c>
      <c r="E88" s="1">
        <v>1.42999994754791</v>
      </c>
      <c r="F88" s="1">
        <v>0.0</v>
      </c>
      <c r="G88" s="1">
        <v>0.0</v>
      </c>
      <c r="H88" s="1">
        <v>0.0</v>
      </c>
      <c r="I88" s="1">
        <v>1.42999994754791</v>
      </c>
      <c r="J88" s="1">
        <v>0.0</v>
      </c>
      <c r="K88" s="1">
        <v>0.0</v>
      </c>
      <c r="L88" s="1">
        <v>0.0</v>
      </c>
      <c r="M88" s="1">
        <v>115.0</v>
      </c>
      <c r="N88" s="1">
        <v>720.0</v>
      </c>
      <c r="O88" s="1">
        <v>1330.0</v>
      </c>
      <c r="P88" s="4">
        <f t="shared" si="1"/>
        <v>7</v>
      </c>
      <c r="Q88" s="4" t="str">
        <f t="shared" si="2"/>
        <v>Sunday</v>
      </c>
      <c r="R88" s="4">
        <f t="shared" si="3"/>
        <v>2.859999895</v>
      </c>
      <c r="S88" s="2">
        <f t="shared" si="4"/>
        <v>0</v>
      </c>
      <c r="T88" s="4" t="str">
        <f t="shared" si="5"/>
        <v>Low</v>
      </c>
    </row>
    <row r="89">
      <c r="A89" s="1">
        <v>2.026352035E9</v>
      </c>
      <c r="B89" s="3">
        <v>42464.0</v>
      </c>
      <c r="C89" s="1">
        <v>6679.0</v>
      </c>
      <c r="D89" s="1">
        <v>4.1399998664856</v>
      </c>
      <c r="E89" s="1">
        <v>4.1399998664856</v>
      </c>
      <c r="F89" s="1">
        <v>0.0</v>
      </c>
      <c r="G89" s="1">
        <v>0.0</v>
      </c>
      <c r="H89" s="1">
        <v>0.0</v>
      </c>
      <c r="I89" s="1">
        <v>4.1399998664856</v>
      </c>
      <c r="J89" s="1">
        <v>0.0</v>
      </c>
      <c r="K89" s="1">
        <v>0.0</v>
      </c>
      <c r="L89" s="1">
        <v>0.0</v>
      </c>
      <c r="M89" s="1">
        <v>263.0</v>
      </c>
      <c r="N89" s="1">
        <v>644.0</v>
      </c>
      <c r="O89" s="1">
        <v>1583.0</v>
      </c>
      <c r="P89" s="4">
        <f t="shared" si="1"/>
        <v>1</v>
      </c>
      <c r="Q89" s="4" t="str">
        <f t="shared" si="2"/>
        <v>Monday</v>
      </c>
      <c r="R89" s="4">
        <f t="shared" si="3"/>
        <v>8.279999733</v>
      </c>
      <c r="S89" s="2">
        <f t="shared" si="4"/>
        <v>0</v>
      </c>
      <c r="T89" s="4" t="str">
        <f t="shared" si="5"/>
        <v>Low</v>
      </c>
    </row>
    <row r="90">
      <c r="A90" s="1">
        <v>2.026352035E9</v>
      </c>
      <c r="B90" s="3">
        <v>42465.0</v>
      </c>
      <c r="C90" s="1">
        <v>5645.0</v>
      </c>
      <c r="D90" s="1">
        <v>3.5</v>
      </c>
      <c r="E90" s="1">
        <v>3.5</v>
      </c>
      <c r="F90" s="1">
        <v>0.0</v>
      </c>
      <c r="G90" s="1">
        <v>0.0</v>
      </c>
      <c r="H90" s="1">
        <v>0.0</v>
      </c>
      <c r="I90" s="1">
        <v>3.5</v>
      </c>
      <c r="J90" s="1">
        <v>0.0</v>
      </c>
      <c r="K90" s="1">
        <v>0.0</v>
      </c>
      <c r="L90" s="1">
        <v>0.0</v>
      </c>
      <c r="M90" s="1">
        <v>248.0</v>
      </c>
      <c r="N90" s="1">
        <v>621.0</v>
      </c>
      <c r="O90" s="1">
        <v>1538.0</v>
      </c>
      <c r="P90" s="4">
        <f t="shared" si="1"/>
        <v>2</v>
      </c>
      <c r="Q90" s="4" t="str">
        <f t="shared" si="2"/>
        <v>Tuesday</v>
      </c>
      <c r="R90" s="4">
        <f t="shared" si="3"/>
        <v>7</v>
      </c>
      <c r="S90" s="2">
        <f t="shared" si="4"/>
        <v>0</v>
      </c>
      <c r="T90" s="4" t="str">
        <f t="shared" si="5"/>
        <v>Low</v>
      </c>
    </row>
    <row r="91">
      <c r="A91" s="1">
        <v>2.026352035E9</v>
      </c>
      <c r="B91" s="3">
        <v>42466.0</v>
      </c>
      <c r="C91" s="1">
        <v>3180.0</v>
      </c>
      <c r="D91" s="1">
        <v>1.97000002861023</v>
      </c>
      <c r="E91" s="1">
        <v>1.97000002861023</v>
      </c>
      <c r="F91" s="1">
        <v>0.0</v>
      </c>
      <c r="G91" s="1">
        <v>0.0</v>
      </c>
      <c r="H91" s="1">
        <v>0.0</v>
      </c>
      <c r="I91" s="1">
        <v>1.97000002861023</v>
      </c>
      <c r="J91" s="1">
        <v>0.0</v>
      </c>
      <c r="K91" s="1">
        <v>0.0</v>
      </c>
      <c r="L91" s="1">
        <v>0.0</v>
      </c>
      <c r="M91" s="1">
        <v>185.0</v>
      </c>
      <c r="N91" s="1">
        <v>738.0</v>
      </c>
      <c r="O91" s="1">
        <v>1421.0</v>
      </c>
      <c r="P91" s="4">
        <f t="shared" si="1"/>
        <v>3</v>
      </c>
      <c r="Q91" s="4" t="str">
        <f t="shared" si="2"/>
        <v>Wednesday</v>
      </c>
      <c r="R91" s="4">
        <f t="shared" si="3"/>
        <v>3.940000057</v>
      </c>
      <c r="S91" s="2">
        <f t="shared" si="4"/>
        <v>0</v>
      </c>
      <c r="T91" s="4" t="str">
        <f t="shared" si="5"/>
        <v>Low</v>
      </c>
    </row>
    <row r="92">
      <c r="A92" s="1">
        <v>2.026352035E9</v>
      </c>
      <c r="B92" s="3">
        <v>42467.0</v>
      </c>
      <c r="C92" s="1">
        <v>2767.0</v>
      </c>
      <c r="D92" s="1">
        <v>1.72000002861023</v>
      </c>
      <c r="E92" s="1">
        <v>1.72000002861023</v>
      </c>
      <c r="F92" s="1">
        <v>0.0</v>
      </c>
      <c r="G92" s="1">
        <v>0.0</v>
      </c>
      <c r="H92" s="1">
        <v>0.0</v>
      </c>
      <c r="I92" s="1">
        <v>1.72000002861023</v>
      </c>
      <c r="J92" s="1">
        <v>0.0</v>
      </c>
      <c r="K92" s="1">
        <v>0.0</v>
      </c>
      <c r="L92" s="1">
        <v>0.0</v>
      </c>
      <c r="M92" s="1">
        <v>170.0</v>
      </c>
      <c r="N92" s="1">
        <v>673.0</v>
      </c>
      <c r="O92" s="1">
        <v>1392.0</v>
      </c>
      <c r="P92" s="4">
        <f t="shared" si="1"/>
        <v>4</v>
      </c>
      <c r="Q92" s="4" t="str">
        <f t="shared" si="2"/>
        <v>Thursday</v>
      </c>
      <c r="R92" s="4">
        <f t="shared" si="3"/>
        <v>3.440000057</v>
      </c>
      <c r="S92" s="2">
        <f t="shared" si="4"/>
        <v>0</v>
      </c>
      <c r="T92" s="4" t="str">
        <f t="shared" si="5"/>
        <v>Low</v>
      </c>
    </row>
    <row r="93">
      <c r="A93" s="1">
        <v>2.026352035E9</v>
      </c>
      <c r="B93" s="3">
        <v>42468.0</v>
      </c>
      <c r="C93" s="1">
        <v>3762.0</v>
      </c>
      <c r="D93" s="1">
        <v>2.32999992370605</v>
      </c>
      <c r="E93" s="1">
        <v>2.32999992370605</v>
      </c>
      <c r="F93" s="1">
        <v>0.0</v>
      </c>
      <c r="G93" s="1">
        <v>0.0</v>
      </c>
      <c r="H93" s="1">
        <v>0.0</v>
      </c>
      <c r="I93" s="1">
        <v>2.32999992370605</v>
      </c>
      <c r="J93" s="1">
        <v>0.0</v>
      </c>
      <c r="K93" s="1">
        <v>0.0</v>
      </c>
      <c r="L93" s="1">
        <v>0.0</v>
      </c>
      <c r="M93" s="1">
        <v>173.0</v>
      </c>
      <c r="N93" s="1">
        <v>719.0</v>
      </c>
      <c r="O93" s="1">
        <v>1425.0</v>
      </c>
      <c r="P93" s="4">
        <f t="shared" si="1"/>
        <v>5</v>
      </c>
      <c r="Q93" s="4" t="str">
        <f t="shared" si="2"/>
        <v>Friday</v>
      </c>
      <c r="R93" s="4">
        <f t="shared" si="3"/>
        <v>4.659999847</v>
      </c>
      <c r="S93" s="2">
        <f t="shared" si="4"/>
        <v>0</v>
      </c>
      <c r="T93" s="4" t="str">
        <f t="shared" si="5"/>
        <v>Low</v>
      </c>
    </row>
    <row r="94">
      <c r="A94" s="1">
        <v>2.026352035E9</v>
      </c>
      <c r="B94" s="3">
        <v>42469.0</v>
      </c>
      <c r="C94" s="1">
        <v>3098.0</v>
      </c>
      <c r="D94" s="1">
        <v>1.91999995708466</v>
      </c>
      <c r="E94" s="1">
        <v>1.91999995708466</v>
      </c>
      <c r="F94" s="1">
        <v>0.0</v>
      </c>
      <c r="G94" s="1">
        <v>0.0</v>
      </c>
      <c r="H94" s="1">
        <v>0.0</v>
      </c>
      <c r="I94" s="1">
        <v>1.91999995708466</v>
      </c>
      <c r="J94" s="1">
        <v>0.0</v>
      </c>
      <c r="K94" s="1">
        <v>0.0</v>
      </c>
      <c r="L94" s="1">
        <v>0.0</v>
      </c>
      <c r="M94" s="1">
        <v>185.0</v>
      </c>
      <c r="N94" s="1">
        <v>700.0</v>
      </c>
      <c r="O94" s="1">
        <v>1413.0</v>
      </c>
      <c r="P94" s="4">
        <f t="shared" si="1"/>
        <v>6</v>
      </c>
      <c r="Q94" s="4" t="str">
        <f t="shared" si="2"/>
        <v>Saturday</v>
      </c>
      <c r="R94" s="4">
        <f t="shared" si="3"/>
        <v>3.839999914</v>
      </c>
      <c r="S94" s="2">
        <f t="shared" si="4"/>
        <v>0</v>
      </c>
      <c r="T94" s="4" t="str">
        <f t="shared" si="5"/>
        <v>Low</v>
      </c>
    </row>
    <row r="95">
      <c r="A95" s="1">
        <v>2.026352035E9</v>
      </c>
      <c r="B95" s="3">
        <v>42470.0</v>
      </c>
      <c r="C95" s="1">
        <v>5142.0</v>
      </c>
      <c r="D95" s="1">
        <v>3.19000005722046</v>
      </c>
      <c r="E95" s="1">
        <v>3.19000005722046</v>
      </c>
      <c r="F95" s="1">
        <v>0.0</v>
      </c>
      <c r="G95" s="1">
        <v>0.0</v>
      </c>
      <c r="H95" s="1">
        <v>0.0</v>
      </c>
      <c r="I95" s="1">
        <v>3.19000005722046</v>
      </c>
      <c r="J95" s="1">
        <v>0.0</v>
      </c>
      <c r="K95" s="1">
        <v>0.0</v>
      </c>
      <c r="L95" s="1">
        <v>0.0</v>
      </c>
      <c r="M95" s="1">
        <v>230.0</v>
      </c>
      <c r="N95" s="1">
        <v>654.0</v>
      </c>
      <c r="O95" s="1">
        <v>1515.0</v>
      </c>
      <c r="P95" s="4">
        <f t="shared" si="1"/>
        <v>7</v>
      </c>
      <c r="Q95" s="4" t="str">
        <f t="shared" si="2"/>
        <v>Sunday</v>
      </c>
      <c r="R95" s="4">
        <f t="shared" si="3"/>
        <v>6.380000114</v>
      </c>
      <c r="S95" s="2">
        <f t="shared" si="4"/>
        <v>0</v>
      </c>
      <c r="T95" s="4" t="str">
        <f t="shared" si="5"/>
        <v>Low</v>
      </c>
    </row>
    <row r="96">
      <c r="A96" s="1">
        <v>2.026352035E9</v>
      </c>
      <c r="B96" s="3">
        <v>42471.0</v>
      </c>
      <c r="C96" s="1">
        <v>3279.0</v>
      </c>
      <c r="D96" s="1">
        <v>2.02999997138977</v>
      </c>
      <c r="E96" s="1">
        <v>2.02999997138977</v>
      </c>
      <c r="F96" s="1">
        <v>0.0</v>
      </c>
      <c r="G96" s="1">
        <v>0.0</v>
      </c>
      <c r="H96" s="1">
        <v>0.0</v>
      </c>
      <c r="I96" s="1">
        <v>2.02999997138977</v>
      </c>
      <c r="J96" s="1">
        <v>0.0</v>
      </c>
      <c r="K96" s="1">
        <v>0.0</v>
      </c>
      <c r="L96" s="1">
        <v>0.0</v>
      </c>
      <c r="M96" s="1">
        <v>164.0</v>
      </c>
      <c r="N96" s="1">
        <v>694.0</v>
      </c>
      <c r="O96" s="1">
        <v>1405.0</v>
      </c>
      <c r="P96" s="4">
        <f t="shared" si="1"/>
        <v>1</v>
      </c>
      <c r="Q96" s="4" t="str">
        <f t="shared" si="2"/>
        <v>Monday</v>
      </c>
      <c r="R96" s="4">
        <f t="shared" si="3"/>
        <v>4.059999943</v>
      </c>
      <c r="S96" s="2">
        <f t="shared" si="4"/>
        <v>0</v>
      </c>
      <c r="T96" s="4" t="str">
        <f t="shared" si="5"/>
        <v>Low</v>
      </c>
    </row>
    <row r="97">
      <c r="A97" s="1">
        <v>2.026352035E9</v>
      </c>
      <c r="B97" s="3">
        <v>42472.0</v>
      </c>
      <c r="C97" s="1">
        <v>1019.0</v>
      </c>
      <c r="D97" s="1">
        <v>0.629999995231628</v>
      </c>
      <c r="E97" s="1">
        <v>0.629999995231628</v>
      </c>
      <c r="F97" s="1">
        <v>0.0</v>
      </c>
      <c r="G97" s="1">
        <v>0.0</v>
      </c>
      <c r="H97" s="1">
        <v>0.0</v>
      </c>
      <c r="I97" s="1">
        <v>0.629999995231628</v>
      </c>
      <c r="J97" s="1">
        <v>0.0</v>
      </c>
      <c r="K97" s="1">
        <v>0.0</v>
      </c>
      <c r="L97" s="1">
        <v>0.0</v>
      </c>
      <c r="M97" s="1">
        <v>64.0</v>
      </c>
      <c r="N97" s="1">
        <v>223.0</v>
      </c>
      <c r="O97" s="1">
        <v>600.0</v>
      </c>
      <c r="P97" s="4">
        <f t="shared" si="1"/>
        <v>2</v>
      </c>
      <c r="Q97" s="4" t="str">
        <f t="shared" si="2"/>
        <v>Tuesday</v>
      </c>
      <c r="R97" s="4">
        <f t="shared" si="3"/>
        <v>1.25999999</v>
      </c>
      <c r="S97" s="2">
        <f t="shared" si="4"/>
        <v>0</v>
      </c>
      <c r="T97" s="4" t="str">
        <f t="shared" si="5"/>
        <v>Low</v>
      </c>
    </row>
    <row r="98">
      <c r="A98" s="1">
        <v>2.320127002E9</v>
      </c>
      <c r="B98" s="3">
        <v>42461.0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1440.0</v>
      </c>
      <c r="O98" s="1">
        <v>1324.0</v>
      </c>
      <c r="P98" s="4">
        <f t="shared" si="1"/>
        <v>5</v>
      </c>
      <c r="Q98" s="4" t="str">
        <f t="shared" si="2"/>
        <v>Friday</v>
      </c>
      <c r="R98" s="4">
        <f t="shared" si="3"/>
        <v>0</v>
      </c>
      <c r="S98" s="2">
        <f t="shared" si="4"/>
        <v>0</v>
      </c>
      <c r="T98" s="4" t="str">
        <f t="shared" si="5"/>
        <v>Low</v>
      </c>
    </row>
    <row r="99">
      <c r="A99" s="1">
        <v>2.320127002E9</v>
      </c>
      <c r="B99" s="3">
        <v>42462.0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1440.0</v>
      </c>
      <c r="O99" s="1">
        <v>1324.0</v>
      </c>
      <c r="P99" s="4">
        <f t="shared" si="1"/>
        <v>6</v>
      </c>
      <c r="Q99" s="4" t="str">
        <f t="shared" si="2"/>
        <v>Saturday</v>
      </c>
      <c r="R99" s="4">
        <f t="shared" si="3"/>
        <v>0</v>
      </c>
      <c r="S99" s="2">
        <f t="shared" si="4"/>
        <v>0</v>
      </c>
      <c r="T99" s="4" t="str">
        <f t="shared" si="5"/>
        <v>Low</v>
      </c>
    </row>
    <row r="100">
      <c r="A100" s="1">
        <v>2.320127002E9</v>
      </c>
      <c r="B100" s="3">
        <v>42463.0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1440.0</v>
      </c>
      <c r="O100" s="1">
        <v>1324.0</v>
      </c>
      <c r="P100" s="4">
        <f t="shared" si="1"/>
        <v>7</v>
      </c>
      <c r="Q100" s="4" t="str">
        <f t="shared" si="2"/>
        <v>Sunday</v>
      </c>
      <c r="R100" s="4">
        <f t="shared" si="3"/>
        <v>0</v>
      </c>
      <c r="S100" s="2">
        <f t="shared" si="4"/>
        <v>0</v>
      </c>
      <c r="T100" s="4" t="str">
        <f t="shared" si="5"/>
        <v>Low</v>
      </c>
    </row>
    <row r="101">
      <c r="A101" s="1">
        <v>2.320127002E9</v>
      </c>
      <c r="B101" s="3">
        <v>42464.0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1440.0</v>
      </c>
      <c r="O101" s="1">
        <v>1324.0</v>
      </c>
      <c r="P101" s="4">
        <f t="shared" si="1"/>
        <v>1</v>
      </c>
      <c r="Q101" s="4" t="str">
        <f t="shared" si="2"/>
        <v>Monday</v>
      </c>
      <c r="R101" s="4">
        <f t="shared" si="3"/>
        <v>0</v>
      </c>
      <c r="S101" s="2">
        <f t="shared" si="4"/>
        <v>0</v>
      </c>
      <c r="T101" s="4" t="str">
        <f t="shared" si="5"/>
        <v>Low</v>
      </c>
    </row>
    <row r="102">
      <c r="A102" s="1">
        <v>2.320127002E9</v>
      </c>
      <c r="B102" s="3">
        <v>42465.0</v>
      </c>
      <c r="C102" s="1">
        <v>4931.0</v>
      </c>
      <c r="D102" s="1">
        <v>3.3199999332428</v>
      </c>
      <c r="E102" s="1">
        <v>3.3199999332428</v>
      </c>
      <c r="F102" s="1">
        <v>0.0</v>
      </c>
      <c r="G102" s="1">
        <v>0.0</v>
      </c>
      <c r="H102" s="1">
        <v>0.0</v>
      </c>
      <c r="I102" s="1">
        <v>3.3199999332428</v>
      </c>
      <c r="J102" s="1">
        <v>0.0</v>
      </c>
      <c r="K102" s="1">
        <v>0.0</v>
      </c>
      <c r="L102" s="1">
        <v>0.0</v>
      </c>
      <c r="M102" s="1">
        <v>175.0</v>
      </c>
      <c r="N102" s="1">
        <v>1265.0</v>
      </c>
      <c r="O102" s="1">
        <v>1708.0</v>
      </c>
      <c r="P102" s="4">
        <f t="shared" si="1"/>
        <v>2</v>
      </c>
      <c r="Q102" s="4" t="str">
        <f t="shared" si="2"/>
        <v>Tuesday</v>
      </c>
      <c r="R102" s="4">
        <f t="shared" si="3"/>
        <v>6.639999866</v>
      </c>
      <c r="S102" s="2">
        <f t="shared" si="4"/>
        <v>0</v>
      </c>
      <c r="T102" s="4" t="str">
        <f t="shared" si="5"/>
        <v>Low</v>
      </c>
    </row>
    <row r="103">
      <c r="A103" s="1">
        <v>2.320127002E9</v>
      </c>
      <c r="B103" s="3">
        <v>42466.0</v>
      </c>
      <c r="C103" s="1">
        <v>6999.0</v>
      </c>
      <c r="D103" s="1">
        <v>4.71999979019165</v>
      </c>
      <c r="E103" s="1">
        <v>4.71999979019165</v>
      </c>
      <c r="F103" s="1">
        <v>0.0</v>
      </c>
      <c r="G103" s="1">
        <v>0.0</v>
      </c>
      <c r="H103" s="1">
        <v>0.0</v>
      </c>
      <c r="I103" s="1">
        <v>4.71999979019165</v>
      </c>
      <c r="J103" s="1">
        <v>0.0</v>
      </c>
      <c r="K103" s="1">
        <v>0.0</v>
      </c>
      <c r="L103" s="1">
        <v>0.0</v>
      </c>
      <c r="M103" s="1">
        <v>320.0</v>
      </c>
      <c r="N103" s="1">
        <v>1120.0</v>
      </c>
      <c r="O103" s="1">
        <v>1950.0</v>
      </c>
      <c r="P103" s="4">
        <f t="shared" si="1"/>
        <v>3</v>
      </c>
      <c r="Q103" s="4" t="str">
        <f t="shared" si="2"/>
        <v>Wednesday</v>
      </c>
      <c r="R103" s="4">
        <f t="shared" si="3"/>
        <v>9.43999958</v>
      </c>
      <c r="S103" s="2">
        <f t="shared" si="4"/>
        <v>0</v>
      </c>
      <c r="T103" s="4" t="str">
        <f t="shared" si="5"/>
        <v>Low</v>
      </c>
    </row>
    <row r="104">
      <c r="A104" s="1">
        <v>2.320127002E9</v>
      </c>
      <c r="B104" s="3">
        <v>42467.0</v>
      </c>
      <c r="C104" s="1">
        <v>1846.0</v>
      </c>
      <c r="D104" s="1">
        <v>1.24000000953674</v>
      </c>
      <c r="E104" s="1">
        <v>1.24000000953674</v>
      </c>
      <c r="F104" s="1">
        <v>0.0</v>
      </c>
      <c r="G104" s="1">
        <v>0.0</v>
      </c>
      <c r="H104" s="1">
        <v>0.0</v>
      </c>
      <c r="I104" s="1">
        <v>1.24000000953674</v>
      </c>
      <c r="J104" s="1">
        <v>0.0</v>
      </c>
      <c r="K104" s="1">
        <v>0.0</v>
      </c>
      <c r="L104" s="1">
        <v>0.0</v>
      </c>
      <c r="M104" s="1">
        <v>93.0</v>
      </c>
      <c r="N104" s="1">
        <v>1347.0</v>
      </c>
      <c r="O104" s="1">
        <v>1508.0</v>
      </c>
      <c r="P104" s="4">
        <f t="shared" si="1"/>
        <v>4</v>
      </c>
      <c r="Q104" s="4" t="str">
        <f t="shared" si="2"/>
        <v>Thursday</v>
      </c>
      <c r="R104" s="4">
        <f t="shared" si="3"/>
        <v>2.480000019</v>
      </c>
      <c r="S104" s="2">
        <f t="shared" si="4"/>
        <v>0</v>
      </c>
      <c r="T104" s="4" t="str">
        <f t="shared" si="5"/>
        <v>Low</v>
      </c>
    </row>
    <row r="105">
      <c r="A105" s="1">
        <v>2.320127002E9</v>
      </c>
      <c r="B105" s="3">
        <v>42468.0</v>
      </c>
      <c r="C105" s="1">
        <v>3417.0</v>
      </c>
      <c r="D105" s="1">
        <v>2.29999995231628</v>
      </c>
      <c r="E105" s="1">
        <v>2.29999995231628</v>
      </c>
      <c r="F105" s="1">
        <v>0.0</v>
      </c>
      <c r="G105" s="1">
        <v>0.0</v>
      </c>
      <c r="H105" s="1">
        <v>0.0</v>
      </c>
      <c r="I105" s="1">
        <v>2.29999995231628</v>
      </c>
      <c r="J105" s="1">
        <v>0.0</v>
      </c>
      <c r="K105" s="1">
        <v>0.0</v>
      </c>
      <c r="L105" s="1">
        <v>0.0</v>
      </c>
      <c r="M105" s="1">
        <v>153.0</v>
      </c>
      <c r="N105" s="1">
        <v>1287.0</v>
      </c>
      <c r="O105" s="1">
        <v>1625.0</v>
      </c>
      <c r="P105" s="4">
        <f t="shared" si="1"/>
        <v>5</v>
      </c>
      <c r="Q105" s="4" t="str">
        <f t="shared" si="2"/>
        <v>Friday</v>
      </c>
      <c r="R105" s="4">
        <f t="shared" si="3"/>
        <v>4.599999905</v>
      </c>
      <c r="S105" s="2">
        <f t="shared" si="4"/>
        <v>0</v>
      </c>
      <c r="T105" s="4" t="str">
        <f t="shared" si="5"/>
        <v>Low</v>
      </c>
    </row>
    <row r="106">
      <c r="A106" s="1">
        <v>2.320127002E9</v>
      </c>
      <c r="B106" s="3">
        <v>42469.0</v>
      </c>
      <c r="C106" s="1">
        <v>4863.0</v>
      </c>
      <c r="D106" s="1">
        <v>3.27999997138977</v>
      </c>
      <c r="E106" s="1">
        <v>3.27999997138977</v>
      </c>
      <c r="F106" s="1">
        <v>0.0</v>
      </c>
      <c r="G106" s="1">
        <v>0.0599999986588955</v>
      </c>
      <c r="H106" s="1">
        <v>0.419999986886978</v>
      </c>
      <c r="I106" s="1">
        <v>2.79999995231628</v>
      </c>
      <c r="J106" s="1">
        <v>0.0</v>
      </c>
      <c r="K106" s="1">
        <v>1.0</v>
      </c>
      <c r="L106" s="1">
        <v>11.0</v>
      </c>
      <c r="M106" s="1">
        <v>208.0</v>
      </c>
      <c r="N106" s="1">
        <v>1220.0</v>
      </c>
      <c r="O106" s="1">
        <v>1772.0</v>
      </c>
      <c r="P106" s="4">
        <f t="shared" si="1"/>
        <v>6</v>
      </c>
      <c r="Q106" s="4" t="str">
        <f t="shared" si="2"/>
        <v>Saturday</v>
      </c>
      <c r="R106" s="4">
        <f t="shared" si="3"/>
        <v>6.559999943</v>
      </c>
      <c r="S106" s="2">
        <f t="shared" si="4"/>
        <v>0.008333333333</v>
      </c>
      <c r="T106" s="4" t="str">
        <f t="shared" si="5"/>
        <v>Low</v>
      </c>
    </row>
    <row r="107">
      <c r="A107" s="1">
        <v>2.320127002E9</v>
      </c>
      <c r="B107" s="3">
        <v>42470.0</v>
      </c>
      <c r="C107" s="1">
        <v>2277.0</v>
      </c>
      <c r="D107" s="1">
        <v>1.52999997138977</v>
      </c>
      <c r="E107" s="1">
        <v>1.52999997138977</v>
      </c>
      <c r="F107" s="1">
        <v>0.0</v>
      </c>
      <c r="G107" s="1">
        <v>0.0</v>
      </c>
      <c r="H107" s="1">
        <v>0.0</v>
      </c>
      <c r="I107" s="1">
        <v>1.52999997138977</v>
      </c>
      <c r="J107" s="1">
        <v>0.0</v>
      </c>
      <c r="K107" s="1">
        <v>0.0</v>
      </c>
      <c r="L107" s="1">
        <v>0.0</v>
      </c>
      <c r="M107" s="1">
        <v>103.0</v>
      </c>
      <c r="N107" s="1">
        <v>1337.0</v>
      </c>
      <c r="O107" s="1">
        <v>1530.0</v>
      </c>
      <c r="P107" s="4">
        <f t="shared" si="1"/>
        <v>7</v>
      </c>
      <c r="Q107" s="4" t="str">
        <f t="shared" si="2"/>
        <v>Sunday</v>
      </c>
      <c r="R107" s="4">
        <f t="shared" si="3"/>
        <v>3.059999943</v>
      </c>
      <c r="S107" s="2">
        <f t="shared" si="4"/>
        <v>0</v>
      </c>
      <c r="T107" s="4" t="str">
        <f t="shared" si="5"/>
        <v>Low</v>
      </c>
    </row>
    <row r="108">
      <c r="A108" s="1">
        <v>2.320127002E9</v>
      </c>
      <c r="B108" s="3">
        <v>42471.0</v>
      </c>
      <c r="C108" s="1">
        <v>11230.0</v>
      </c>
      <c r="D108" s="1">
        <v>7.67000007629395</v>
      </c>
      <c r="E108" s="1">
        <v>7.67000007629395</v>
      </c>
      <c r="F108" s="1">
        <v>0.0</v>
      </c>
      <c r="G108" s="1">
        <v>0.889999985694885</v>
      </c>
      <c r="H108" s="1">
        <v>0.119999997317791</v>
      </c>
      <c r="I108" s="1">
        <v>6.65999984741211</v>
      </c>
      <c r="J108" s="1">
        <v>0.0</v>
      </c>
      <c r="K108" s="1">
        <v>10.0</v>
      </c>
      <c r="L108" s="1">
        <v>2.0</v>
      </c>
      <c r="M108" s="1">
        <v>390.0</v>
      </c>
      <c r="N108" s="1">
        <v>1038.0</v>
      </c>
      <c r="O108" s="1">
        <v>2206.0</v>
      </c>
      <c r="P108" s="4">
        <f t="shared" si="1"/>
        <v>1</v>
      </c>
      <c r="Q108" s="4" t="str">
        <f t="shared" si="2"/>
        <v>Monday</v>
      </c>
      <c r="R108" s="4">
        <f t="shared" si="3"/>
        <v>15.34000015</v>
      </c>
      <c r="S108" s="2">
        <f t="shared" si="4"/>
        <v>0.008333333333</v>
      </c>
      <c r="T108" s="4" t="str">
        <f t="shared" si="5"/>
        <v>Low</v>
      </c>
    </row>
    <row r="109">
      <c r="A109" s="1">
        <v>2.320127002E9</v>
      </c>
      <c r="B109" s="3">
        <v>42472.0</v>
      </c>
      <c r="C109" s="1">
        <v>2098.0</v>
      </c>
      <c r="D109" s="1">
        <v>1.4099999666214</v>
      </c>
      <c r="E109" s="1">
        <v>1.4099999666214</v>
      </c>
      <c r="F109" s="1">
        <v>0.0</v>
      </c>
      <c r="G109" s="1">
        <v>0.0</v>
      </c>
      <c r="H109" s="1">
        <v>0.0</v>
      </c>
      <c r="I109" s="1">
        <v>1.4099999666214</v>
      </c>
      <c r="J109" s="1">
        <v>0.0</v>
      </c>
      <c r="K109" s="1">
        <v>0.0</v>
      </c>
      <c r="L109" s="1">
        <v>0.0</v>
      </c>
      <c r="M109" s="1">
        <v>69.0</v>
      </c>
      <c r="N109" s="1">
        <v>617.0</v>
      </c>
      <c r="O109" s="1">
        <v>790.0</v>
      </c>
      <c r="P109" s="4">
        <f t="shared" si="1"/>
        <v>2</v>
      </c>
      <c r="Q109" s="4" t="str">
        <f t="shared" si="2"/>
        <v>Tuesday</v>
      </c>
      <c r="R109" s="4">
        <f t="shared" si="3"/>
        <v>2.819999933</v>
      </c>
      <c r="S109" s="2">
        <f t="shared" si="4"/>
        <v>0</v>
      </c>
      <c r="T109" s="4" t="str">
        <f t="shared" si="5"/>
        <v>Low</v>
      </c>
    </row>
    <row r="110">
      <c r="A110" s="1">
        <v>2.347167796E9</v>
      </c>
      <c r="B110" s="3">
        <v>42458.0</v>
      </c>
      <c r="C110" s="1">
        <v>10272.0</v>
      </c>
      <c r="D110" s="1">
        <v>6.78999996185303</v>
      </c>
      <c r="E110" s="1">
        <v>6.78999996185303</v>
      </c>
      <c r="F110" s="1">
        <v>0.0</v>
      </c>
      <c r="G110" s="1">
        <v>0.159999996423721</v>
      </c>
      <c r="H110" s="1">
        <v>3.11999988555908</v>
      </c>
      <c r="I110" s="1">
        <v>3.5</v>
      </c>
      <c r="J110" s="1">
        <v>0.0</v>
      </c>
      <c r="K110" s="1">
        <v>2.0</v>
      </c>
      <c r="L110" s="1">
        <v>58.0</v>
      </c>
      <c r="M110" s="1">
        <v>208.0</v>
      </c>
      <c r="N110" s="1">
        <v>700.0</v>
      </c>
      <c r="O110" s="1">
        <v>2041.0</v>
      </c>
      <c r="P110" s="4">
        <f t="shared" si="1"/>
        <v>2</v>
      </c>
      <c r="Q110" s="4" t="str">
        <f t="shared" si="2"/>
        <v>Tuesday</v>
      </c>
      <c r="R110" s="4">
        <f t="shared" si="3"/>
        <v>13.57999992</v>
      </c>
      <c r="S110" s="2">
        <f t="shared" si="4"/>
        <v>0.06198347107</v>
      </c>
      <c r="T110" s="4" t="str">
        <f t="shared" si="5"/>
        <v>Low</v>
      </c>
    </row>
    <row r="111">
      <c r="A111" s="1">
        <v>2.347167796E9</v>
      </c>
      <c r="B111" s="3">
        <v>42459.0</v>
      </c>
      <c r="C111" s="1">
        <v>10533.0</v>
      </c>
      <c r="D111" s="1">
        <v>7.09999990463257</v>
      </c>
      <c r="E111" s="1">
        <v>7.09999990463257</v>
      </c>
      <c r="F111" s="1">
        <v>0.0</v>
      </c>
      <c r="G111" s="1">
        <v>1.76999998092651</v>
      </c>
      <c r="H111" s="1">
        <v>2.05999994277954</v>
      </c>
      <c r="I111" s="1">
        <v>3.26999998092651</v>
      </c>
      <c r="J111" s="1">
        <v>0.0</v>
      </c>
      <c r="K111" s="1">
        <v>21.0</v>
      </c>
      <c r="L111" s="1">
        <v>35.0</v>
      </c>
      <c r="M111" s="1">
        <v>255.0</v>
      </c>
      <c r="N111" s="1">
        <v>615.0</v>
      </c>
      <c r="O111" s="1">
        <v>2187.0</v>
      </c>
      <c r="P111" s="4">
        <f t="shared" si="1"/>
        <v>3</v>
      </c>
      <c r="Q111" s="4" t="str">
        <f t="shared" si="2"/>
        <v>Wednesday</v>
      </c>
      <c r="R111" s="4">
        <f t="shared" si="3"/>
        <v>14.19999981</v>
      </c>
      <c r="S111" s="2">
        <f t="shared" si="4"/>
        <v>0.06047516199</v>
      </c>
      <c r="T111" s="4" t="str">
        <f t="shared" si="5"/>
        <v>Moderate</v>
      </c>
    </row>
    <row r="112">
      <c r="A112" s="1">
        <v>2.347167796E9</v>
      </c>
      <c r="B112" s="3">
        <v>42460.0</v>
      </c>
      <c r="C112" s="1">
        <v>6760.0</v>
      </c>
      <c r="D112" s="1">
        <v>4.46999979019165</v>
      </c>
      <c r="E112" s="1">
        <v>4.46999979019165</v>
      </c>
      <c r="F112" s="1">
        <v>0.0</v>
      </c>
      <c r="G112" s="1">
        <v>0.0</v>
      </c>
      <c r="H112" s="1">
        <v>0.0</v>
      </c>
      <c r="I112" s="1">
        <v>4.46999979019165</v>
      </c>
      <c r="J112" s="1">
        <v>0.0</v>
      </c>
      <c r="K112" s="1">
        <v>0.0</v>
      </c>
      <c r="L112" s="1">
        <v>0.0</v>
      </c>
      <c r="M112" s="1">
        <v>250.0</v>
      </c>
      <c r="N112" s="1">
        <v>613.0</v>
      </c>
      <c r="O112" s="1">
        <v>1929.0</v>
      </c>
      <c r="P112" s="4">
        <f t="shared" si="1"/>
        <v>4</v>
      </c>
      <c r="Q112" s="4" t="str">
        <f t="shared" si="2"/>
        <v>Thursday</v>
      </c>
      <c r="R112" s="4">
        <f t="shared" si="3"/>
        <v>8.93999958</v>
      </c>
      <c r="S112" s="2">
        <f t="shared" si="4"/>
        <v>0</v>
      </c>
      <c r="T112" s="4" t="str">
        <f t="shared" si="5"/>
        <v>Low</v>
      </c>
    </row>
    <row r="113">
      <c r="A113" s="1">
        <v>2.347167796E9</v>
      </c>
      <c r="B113" s="3">
        <v>42461.0</v>
      </c>
      <c r="C113" s="1">
        <v>8328.0</v>
      </c>
      <c r="D113" s="1">
        <v>5.51000022888184</v>
      </c>
      <c r="E113" s="1">
        <v>5.51000022888184</v>
      </c>
      <c r="F113" s="1">
        <v>0.0</v>
      </c>
      <c r="G113" s="1">
        <v>0.0</v>
      </c>
      <c r="H113" s="1">
        <v>2.0</v>
      </c>
      <c r="I113" s="1">
        <v>3.5</v>
      </c>
      <c r="J113" s="1">
        <v>0.0</v>
      </c>
      <c r="K113" s="1">
        <v>0.0</v>
      </c>
      <c r="L113" s="1">
        <v>33.0</v>
      </c>
      <c r="M113" s="1">
        <v>212.0</v>
      </c>
      <c r="N113" s="1">
        <v>804.0</v>
      </c>
      <c r="O113" s="1">
        <v>1935.0</v>
      </c>
      <c r="P113" s="4">
        <f t="shared" si="1"/>
        <v>5</v>
      </c>
      <c r="Q113" s="4" t="str">
        <f t="shared" si="2"/>
        <v>Friday</v>
      </c>
      <c r="R113" s="4">
        <f t="shared" si="3"/>
        <v>11.02000046</v>
      </c>
      <c r="S113" s="2">
        <f t="shared" si="4"/>
        <v>0.03145853194</v>
      </c>
      <c r="T113" s="4" t="str">
        <f t="shared" si="5"/>
        <v>Low</v>
      </c>
    </row>
    <row r="114">
      <c r="A114" s="1">
        <v>2.347167796E9</v>
      </c>
      <c r="B114" s="3">
        <v>42462.0</v>
      </c>
      <c r="C114" s="1">
        <v>15459.0</v>
      </c>
      <c r="D114" s="1">
        <v>10.2200002670288</v>
      </c>
      <c r="E114" s="1">
        <v>10.2200002670288</v>
      </c>
      <c r="F114" s="1">
        <v>0.0</v>
      </c>
      <c r="G114" s="1">
        <v>3.58999991416931</v>
      </c>
      <c r="H114" s="1">
        <v>0.810000002384186</v>
      </c>
      <c r="I114" s="1">
        <v>5.82000017166138</v>
      </c>
      <c r="J114" s="1">
        <v>0.0</v>
      </c>
      <c r="K114" s="1">
        <v>51.0</v>
      </c>
      <c r="L114" s="1">
        <v>16.0</v>
      </c>
      <c r="M114" s="1">
        <v>327.0</v>
      </c>
      <c r="N114" s="1">
        <v>583.0</v>
      </c>
      <c r="O114" s="1">
        <v>2438.0</v>
      </c>
      <c r="P114" s="4">
        <f t="shared" si="1"/>
        <v>6</v>
      </c>
      <c r="Q114" s="4" t="str">
        <f t="shared" si="2"/>
        <v>Saturday</v>
      </c>
      <c r="R114" s="4">
        <f t="shared" si="3"/>
        <v>20.44000053</v>
      </c>
      <c r="S114" s="2">
        <f t="shared" si="4"/>
        <v>0.06857727738</v>
      </c>
      <c r="T114" s="4" t="str">
        <f t="shared" si="5"/>
        <v>High</v>
      </c>
    </row>
    <row r="115">
      <c r="A115" s="1">
        <v>2.347167796E9</v>
      </c>
      <c r="B115" s="3">
        <v>42463.0</v>
      </c>
      <c r="C115" s="1">
        <v>7485.0</v>
      </c>
      <c r="D115" s="1">
        <v>4.94999980926514</v>
      </c>
      <c r="E115" s="1">
        <v>4.94999980926514</v>
      </c>
      <c r="F115" s="1">
        <v>0.0</v>
      </c>
      <c r="G115" s="1">
        <v>0.0</v>
      </c>
      <c r="H115" s="1">
        <v>0.0</v>
      </c>
      <c r="I115" s="1">
        <v>4.94999980926514</v>
      </c>
      <c r="J115" s="1">
        <v>0.0</v>
      </c>
      <c r="K115" s="1">
        <v>0.0</v>
      </c>
      <c r="L115" s="1">
        <v>0.0</v>
      </c>
      <c r="M115" s="1">
        <v>324.0</v>
      </c>
      <c r="N115" s="1">
        <v>491.0</v>
      </c>
      <c r="O115" s="1">
        <v>2035.0</v>
      </c>
      <c r="P115" s="4">
        <f t="shared" si="1"/>
        <v>7</v>
      </c>
      <c r="Q115" s="4" t="str">
        <f t="shared" si="2"/>
        <v>Sunday</v>
      </c>
      <c r="R115" s="4">
        <f t="shared" si="3"/>
        <v>9.899999619</v>
      </c>
      <c r="S115" s="2">
        <f t="shared" si="4"/>
        <v>0</v>
      </c>
      <c r="T115" s="4" t="str">
        <f t="shared" si="5"/>
        <v>Low</v>
      </c>
    </row>
    <row r="116">
      <c r="A116" s="1">
        <v>2.347167796E9</v>
      </c>
      <c r="B116" s="3">
        <v>42464.0</v>
      </c>
      <c r="C116" s="1">
        <v>10254.0</v>
      </c>
      <c r="D116" s="1">
        <v>6.80000019073486</v>
      </c>
      <c r="E116" s="1">
        <v>6.80000019073486</v>
      </c>
      <c r="F116" s="1">
        <v>0.0</v>
      </c>
      <c r="G116" s="1">
        <v>1.41999995708466</v>
      </c>
      <c r="H116" s="1">
        <v>1.23000001907349</v>
      </c>
      <c r="I116" s="1">
        <v>4.15999984741211</v>
      </c>
      <c r="J116" s="1">
        <v>0.0</v>
      </c>
      <c r="K116" s="1">
        <v>21.0</v>
      </c>
      <c r="L116" s="1">
        <v>25.0</v>
      </c>
      <c r="M116" s="1">
        <v>231.0</v>
      </c>
      <c r="N116" s="1">
        <v>638.0</v>
      </c>
      <c r="O116" s="1">
        <v>2099.0</v>
      </c>
      <c r="P116" s="4">
        <f t="shared" si="1"/>
        <v>1</v>
      </c>
      <c r="Q116" s="4" t="str">
        <f t="shared" si="2"/>
        <v>Monday</v>
      </c>
      <c r="R116" s="4">
        <f t="shared" si="3"/>
        <v>13.60000038</v>
      </c>
      <c r="S116" s="2">
        <f t="shared" si="4"/>
        <v>0.05027322404</v>
      </c>
      <c r="T116" s="4" t="str">
        <f t="shared" si="5"/>
        <v>Moderate</v>
      </c>
    </row>
    <row r="117">
      <c r="A117" s="1">
        <v>2.347167796E9</v>
      </c>
      <c r="B117" s="3">
        <v>42465.0</v>
      </c>
      <c r="C117" s="1">
        <v>10114.0</v>
      </c>
      <c r="D117" s="1">
        <v>6.82000017166138</v>
      </c>
      <c r="E117" s="1">
        <v>6.82000017166138</v>
      </c>
      <c r="F117" s="1">
        <v>0.0</v>
      </c>
      <c r="G117" s="1">
        <v>1.63999998569489</v>
      </c>
      <c r="H117" s="1">
        <v>0.479999989271164</v>
      </c>
      <c r="I117" s="1">
        <v>4.67999982833862</v>
      </c>
      <c r="J117" s="1">
        <v>0.0</v>
      </c>
      <c r="K117" s="1">
        <v>18.0</v>
      </c>
      <c r="L117" s="1">
        <v>9.0</v>
      </c>
      <c r="M117" s="1">
        <v>269.0</v>
      </c>
      <c r="N117" s="1">
        <v>696.0</v>
      </c>
      <c r="O117" s="1">
        <v>2096.0</v>
      </c>
      <c r="P117" s="4">
        <f t="shared" si="1"/>
        <v>2</v>
      </c>
      <c r="Q117" s="4" t="str">
        <f t="shared" si="2"/>
        <v>Tuesday</v>
      </c>
      <c r="R117" s="4">
        <f t="shared" si="3"/>
        <v>13.64000034</v>
      </c>
      <c r="S117" s="2">
        <f t="shared" si="4"/>
        <v>0.02721774194</v>
      </c>
      <c r="T117" s="4" t="str">
        <f t="shared" si="5"/>
        <v>Moderate</v>
      </c>
    </row>
    <row r="118">
      <c r="A118" s="1">
        <v>2.347167796E9</v>
      </c>
      <c r="B118" s="3">
        <v>42466.0</v>
      </c>
      <c r="C118" s="1">
        <v>11107.0</v>
      </c>
      <c r="D118" s="1">
        <v>7.34000015258789</v>
      </c>
      <c r="E118" s="1">
        <v>7.34000015258789</v>
      </c>
      <c r="F118" s="1">
        <v>0.0</v>
      </c>
      <c r="G118" s="1">
        <v>0.899999976158142</v>
      </c>
      <c r="H118" s="1">
        <v>2.75999999046326</v>
      </c>
      <c r="I118" s="1">
        <v>3.6800000667572</v>
      </c>
      <c r="J118" s="1">
        <v>0.0</v>
      </c>
      <c r="K118" s="1">
        <v>14.0</v>
      </c>
      <c r="L118" s="1">
        <v>46.0</v>
      </c>
      <c r="M118" s="1">
        <v>196.0</v>
      </c>
      <c r="N118" s="1">
        <v>759.0</v>
      </c>
      <c r="O118" s="1">
        <v>2058.0</v>
      </c>
      <c r="P118" s="4">
        <f t="shared" si="1"/>
        <v>3</v>
      </c>
      <c r="Q118" s="4" t="str">
        <f t="shared" si="2"/>
        <v>Wednesday</v>
      </c>
      <c r="R118" s="4">
        <f t="shared" si="3"/>
        <v>14.68000031</v>
      </c>
      <c r="S118" s="2">
        <f t="shared" si="4"/>
        <v>0.05911330049</v>
      </c>
      <c r="T118" s="4" t="str">
        <f t="shared" si="5"/>
        <v>Low</v>
      </c>
    </row>
    <row r="119">
      <c r="A119" s="1">
        <v>2.347167796E9</v>
      </c>
      <c r="B119" s="3">
        <v>42467.0</v>
      </c>
      <c r="C119" s="1">
        <v>10320.0</v>
      </c>
      <c r="D119" s="1">
        <v>6.84999990463257</v>
      </c>
      <c r="E119" s="1">
        <v>6.84999990463257</v>
      </c>
      <c r="F119" s="1">
        <v>0.0</v>
      </c>
      <c r="G119" s="1">
        <v>0.680000007152557</v>
      </c>
      <c r="H119" s="1">
        <v>1.23000001907349</v>
      </c>
      <c r="I119" s="1">
        <v>4.94000005722046</v>
      </c>
      <c r="J119" s="1">
        <v>0.0</v>
      </c>
      <c r="K119" s="1">
        <v>15.0</v>
      </c>
      <c r="L119" s="1">
        <v>32.0</v>
      </c>
      <c r="M119" s="1">
        <v>315.0</v>
      </c>
      <c r="N119" s="1">
        <v>1002.0</v>
      </c>
      <c r="O119" s="1">
        <v>2338.0</v>
      </c>
      <c r="P119" s="4">
        <f t="shared" si="1"/>
        <v>4</v>
      </c>
      <c r="Q119" s="4" t="str">
        <f t="shared" si="2"/>
        <v>Thursday</v>
      </c>
      <c r="R119" s="4">
        <f t="shared" si="3"/>
        <v>13.69999981</v>
      </c>
      <c r="S119" s="2">
        <f t="shared" si="4"/>
        <v>0.03445747801</v>
      </c>
      <c r="T119" s="4" t="str">
        <f t="shared" si="5"/>
        <v>Moderate</v>
      </c>
    </row>
    <row r="120">
      <c r="A120" s="1">
        <v>2.347167796E9</v>
      </c>
      <c r="B120" s="3">
        <v>42468.0</v>
      </c>
      <c r="C120" s="1">
        <v>10209.0</v>
      </c>
      <c r="D120" s="1">
        <v>6.75</v>
      </c>
      <c r="E120" s="1">
        <v>6.75</v>
      </c>
      <c r="F120" s="1">
        <v>0.0</v>
      </c>
      <c r="G120" s="1">
        <v>0.159999996423721</v>
      </c>
      <c r="H120" s="1">
        <v>0.349999994039536</v>
      </c>
      <c r="I120" s="1">
        <v>6.23000001907349</v>
      </c>
      <c r="J120" s="1">
        <v>0.0</v>
      </c>
      <c r="K120" s="1">
        <v>2.0</v>
      </c>
      <c r="L120" s="1">
        <v>6.0</v>
      </c>
      <c r="M120" s="1">
        <v>316.0</v>
      </c>
      <c r="N120" s="1">
        <v>711.0</v>
      </c>
      <c r="O120" s="1">
        <v>2104.0</v>
      </c>
      <c r="P120" s="4">
        <f t="shared" si="1"/>
        <v>5</v>
      </c>
      <c r="Q120" s="4" t="str">
        <f t="shared" si="2"/>
        <v>Friday</v>
      </c>
      <c r="R120" s="4">
        <f t="shared" si="3"/>
        <v>13.5</v>
      </c>
      <c r="S120" s="2">
        <f t="shared" si="4"/>
        <v>0.007729468599</v>
      </c>
      <c r="T120" s="4" t="str">
        <f t="shared" si="5"/>
        <v>Low</v>
      </c>
    </row>
    <row r="121">
      <c r="A121" s="1">
        <v>2.347167796E9</v>
      </c>
      <c r="B121" s="3">
        <v>42469.0</v>
      </c>
      <c r="C121" s="1">
        <v>16081.0</v>
      </c>
      <c r="D121" s="1">
        <v>10.6300001144409</v>
      </c>
      <c r="E121" s="1">
        <v>10.6300001144409</v>
      </c>
      <c r="F121" s="1">
        <v>0.0</v>
      </c>
      <c r="G121" s="1">
        <v>1.25</v>
      </c>
      <c r="H121" s="1">
        <v>1.82000005245209</v>
      </c>
      <c r="I121" s="1">
        <v>7.55999994277954</v>
      </c>
      <c r="J121" s="1">
        <v>0.0</v>
      </c>
      <c r="K121" s="1">
        <v>16.0</v>
      </c>
      <c r="L121" s="1">
        <v>32.0</v>
      </c>
      <c r="M121" s="1">
        <v>401.0</v>
      </c>
      <c r="N121" s="1">
        <v>970.0</v>
      </c>
      <c r="O121" s="1">
        <v>2488.0</v>
      </c>
      <c r="P121" s="4">
        <f t="shared" si="1"/>
        <v>6</v>
      </c>
      <c r="Q121" s="4" t="str">
        <f t="shared" si="2"/>
        <v>Saturday</v>
      </c>
      <c r="R121" s="4">
        <f t="shared" si="3"/>
        <v>21.26000023</v>
      </c>
      <c r="S121" s="2">
        <f t="shared" si="4"/>
        <v>0.03382663848</v>
      </c>
      <c r="T121" s="4" t="str">
        <f t="shared" si="5"/>
        <v>Moderate</v>
      </c>
    </row>
    <row r="122">
      <c r="A122" s="1">
        <v>2.347167796E9</v>
      </c>
      <c r="B122" s="3">
        <v>42470.0</v>
      </c>
      <c r="C122" s="1">
        <v>10078.0</v>
      </c>
      <c r="D122" s="1">
        <v>6.82999992370605</v>
      </c>
      <c r="E122" s="1">
        <v>6.82999992370605</v>
      </c>
      <c r="F122" s="1">
        <v>0.0</v>
      </c>
      <c r="G122" s="1">
        <v>1.01999998092651</v>
      </c>
      <c r="H122" s="1">
        <v>0.119999997317791</v>
      </c>
      <c r="I122" s="1">
        <v>5.69000005722046</v>
      </c>
      <c r="J122" s="1">
        <v>0.0</v>
      </c>
      <c r="K122" s="1">
        <v>12.0</v>
      </c>
      <c r="L122" s="1">
        <v>3.0</v>
      </c>
      <c r="M122" s="1">
        <v>303.0</v>
      </c>
      <c r="N122" s="1">
        <v>463.0</v>
      </c>
      <c r="O122" s="1">
        <v>2164.0</v>
      </c>
      <c r="P122" s="4">
        <f t="shared" si="1"/>
        <v>7</v>
      </c>
      <c r="Q122" s="4" t="str">
        <f t="shared" si="2"/>
        <v>Sunday</v>
      </c>
      <c r="R122" s="4">
        <f t="shared" si="3"/>
        <v>13.65999985</v>
      </c>
      <c r="S122" s="2">
        <f t="shared" si="4"/>
        <v>0.01920614597</v>
      </c>
      <c r="T122" s="4" t="str">
        <f t="shared" si="5"/>
        <v>Low</v>
      </c>
    </row>
    <row r="123">
      <c r="A123" s="1">
        <v>2.347167796E9</v>
      </c>
      <c r="B123" s="3">
        <v>42471.0</v>
      </c>
      <c r="C123" s="1">
        <v>10001.0</v>
      </c>
      <c r="D123" s="1">
        <v>6.6100001335144</v>
      </c>
      <c r="E123" s="1">
        <v>6.6100001335144</v>
      </c>
      <c r="F123" s="1">
        <v>0.0</v>
      </c>
      <c r="G123" s="1">
        <v>0.330000013113022</v>
      </c>
      <c r="H123" s="1">
        <v>2.9300000667572</v>
      </c>
      <c r="I123" s="1">
        <v>3.35999989509583</v>
      </c>
      <c r="J123" s="1">
        <v>0.0</v>
      </c>
      <c r="K123" s="1">
        <v>5.0</v>
      </c>
      <c r="L123" s="1">
        <v>52.0</v>
      </c>
      <c r="M123" s="1">
        <v>196.0</v>
      </c>
      <c r="N123" s="1">
        <v>788.0</v>
      </c>
      <c r="O123" s="1">
        <v>2009.0</v>
      </c>
      <c r="P123" s="4">
        <f t="shared" si="1"/>
        <v>1</v>
      </c>
      <c r="Q123" s="4" t="str">
        <f t="shared" si="2"/>
        <v>Monday</v>
      </c>
      <c r="R123" s="4">
        <f t="shared" si="3"/>
        <v>13.22000027</v>
      </c>
      <c r="S123" s="2">
        <f t="shared" si="4"/>
        <v>0.05475504323</v>
      </c>
      <c r="T123" s="4" t="str">
        <f t="shared" si="5"/>
        <v>Low</v>
      </c>
    </row>
    <row r="124">
      <c r="A124" s="1">
        <v>2.347167796E9</v>
      </c>
      <c r="B124" s="3">
        <v>42472.0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425.0</v>
      </c>
      <c r="O124" s="1">
        <v>399.0</v>
      </c>
      <c r="P124" s="4">
        <f t="shared" si="1"/>
        <v>2</v>
      </c>
      <c r="Q124" s="4" t="str">
        <f t="shared" si="2"/>
        <v>Tuesday</v>
      </c>
      <c r="R124" s="4">
        <f t="shared" si="3"/>
        <v>0</v>
      </c>
      <c r="S124" s="2">
        <f t="shared" si="4"/>
        <v>0</v>
      </c>
      <c r="T124" s="4" t="str">
        <f t="shared" si="5"/>
        <v>Low</v>
      </c>
    </row>
    <row r="125">
      <c r="A125" s="1">
        <v>2.873212765E9</v>
      </c>
      <c r="B125" s="3">
        <v>42461.0</v>
      </c>
      <c r="C125" s="1">
        <v>890.0</v>
      </c>
      <c r="D125" s="1">
        <v>0.600000023841858</v>
      </c>
      <c r="E125" s="1">
        <v>0.600000023841858</v>
      </c>
      <c r="F125" s="1">
        <v>0.0</v>
      </c>
      <c r="G125" s="1">
        <v>0.0</v>
      </c>
      <c r="H125" s="1">
        <v>0.0</v>
      </c>
      <c r="I125" s="1">
        <v>0.600000023841858</v>
      </c>
      <c r="J125" s="1">
        <v>0.0</v>
      </c>
      <c r="K125" s="1">
        <v>0.0</v>
      </c>
      <c r="L125" s="1">
        <v>0.0</v>
      </c>
      <c r="M125" s="1">
        <v>41.0</v>
      </c>
      <c r="N125" s="1">
        <v>1399.0</v>
      </c>
      <c r="O125" s="1">
        <v>1335.0</v>
      </c>
      <c r="P125" s="4">
        <f t="shared" si="1"/>
        <v>5</v>
      </c>
      <c r="Q125" s="4" t="str">
        <f t="shared" si="2"/>
        <v>Friday</v>
      </c>
      <c r="R125" s="4">
        <f t="shared" si="3"/>
        <v>1.200000048</v>
      </c>
      <c r="S125" s="2">
        <f t="shared" si="4"/>
        <v>0</v>
      </c>
      <c r="T125" s="4" t="str">
        <f t="shared" si="5"/>
        <v>Low</v>
      </c>
    </row>
    <row r="126">
      <c r="A126" s="1">
        <v>2.873212765E9</v>
      </c>
      <c r="B126" s="3">
        <v>42462.0</v>
      </c>
      <c r="C126" s="1">
        <v>2214.0</v>
      </c>
      <c r="D126" s="1">
        <v>1.49000000953674</v>
      </c>
      <c r="E126" s="1">
        <v>1.49000000953674</v>
      </c>
      <c r="F126" s="1">
        <v>0.0</v>
      </c>
      <c r="G126" s="1">
        <v>0.0</v>
      </c>
      <c r="H126" s="1">
        <v>0.0</v>
      </c>
      <c r="I126" s="1">
        <v>1.49000000953674</v>
      </c>
      <c r="J126" s="1">
        <v>0.0</v>
      </c>
      <c r="K126" s="1">
        <v>0.0</v>
      </c>
      <c r="L126" s="1">
        <v>0.0</v>
      </c>
      <c r="M126" s="1">
        <v>197.0</v>
      </c>
      <c r="N126" s="1">
        <v>1243.0</v>
      </c>
      <c r="O126" s="1">
        <v>1559.0</v>
      </c>
      <c r="P126" s="4">
        <f t="shared" si="1"/>
        <v>6</v>
      </c>
      <c r="Q126" s="4" t="str">
        <f t="shared" si="2"/>
        <v>Saturday</v>
      </c>
      <c r="R126" s="4">
        <f t="shared" si="3"/>
        <v>2.980000019</v>
      </c>
      <c r="S126" s="2">
        <f t="shared" si="4"/>
        <v>0</v>
      </c>
      <c r="T126" s="4" t="str">
        <f t="shared" si="5"/>
        <v>Low</v>
      </c>
    </row>
    <row r="127">
      <c r="A127" s="1">
        <v>2.873212765E9</v>
      </c>
      <c r="B127" s="3">
        <v>42463.0</v>
      </c>
      <c r="C127" s="1">
        <v>7640.0</v>
      </c>
      <c r="D127" s="1">
        <v>5.13000011444092</v>
      </c>
      <c r="E127" s="1">
        <v>5.13000011444092</v>
      </c>
      <c r="F127" s="1">
        <v>0.0</v>
      </c>
      <c r="G127" s="1">
        <v>0.189999997615814</v>
      </c>
      <c r="H127" s="1">
        <v>0.800000011920929</v>
      </c>
      <c r="I127" s="1">
        <v>4.15000009536743</v>
      </c>
      <c r="J127" s="1">
        <v>0.0</v>
      </c>
      <c r="K127" s="1">
        <v>3.0</v>
      </c>
      <c r="L127" s="1">
        <v>15.0</v>
      </c>
      <c r="M127" s="1">
        <v>315.0</v>
      </c>
      <c r="N127" s="1">
        <v>1107.0</v>
      </c>
      <c r="O127" s="1">
        <v>1845.0</v>
      </c>
      <c r="P127" s="4">
        <f t="shared" si="1"/>
        <v>7</v>
      </c>
      <c r="Q127" s="4" t="str">
        <f t="shared" si="2"/>
        <v>Sunday</v>
      </c>
      <c r="R127" s="4">
        <f t="shared" si="3"/>
        <v>10.26000023</v>
      </c>
      <c r="S127" s="2">
        <f t="shared" si="4"/>
        <v>0.0125</v>
      </c>
      <c r="T127" s="4" t="str">
        <f t="shared" si="5"/>
        <v>Low</v>
      </c>
    </row>
    <row r="128">
      <c r="A128" s="1">
        <v>2.873212765E9</v>
      </c>
      <c r="B128" s="3">
        <v>42464.0</v>
      </c>
      <c r="C128" s="1">
        <v>9713.0</v>
      </c>
      <c r="D128" s="1">
        <v>6.53000020980835</v>
      </c>
      <c r="E128" s="1">
        <v>6.53000020980835</v>
      </c>
      <c r="F128" s="1">
        <v>0.0</v>
      </c>
      <c r="G128" s="1">
        <v>0.340000003576279</v>
      </c>
      <c r="H128" s="1">
        <v>0.889999985694885</v>
      </c>
      <c r="I128" s="1">
        <v>5.28999996185303</v>
      </c>
      <c r="J128" s="1">
        <v>0.0</v>
      </c>
      <c r="K128" s="1">
        <v>6.0</v>
      </c>
      <c r="L128" s="1">
        <v>24.0</v>
      </c>
      <c r="M128" s="1">
        <v>355.0</v>
      </c>
      <c r="N128" s="1">
        <v>1055.0</v>
      </c>
      <c r="O128" s="1">
        <v>2046.0</v>
      </c>
      <c r="P128" s="4">
        <f t="shared" si="1"/>
        <v>1</v>
      </c>
      <c r="Q128" s="4" t="str">
        <f t="shared" si="2"/>
        <v>Monday</v>
      </c>
      <c r="R128" s="4">
        <f t="shared" si="3"/>
        <v>13.06000042</v>
      </c>
      <c r="S128" s="2">
        <f t="shared" si="4"/>
        <v>0.02083333333</v>
      </c>
      <c r="T128" s="4" t="str">
        <f t="shared" si="5"/>
        <v>Low</v>
      </c>
    </row>
    <row r="129">
      <c r="A129" s="1">
        <v>2.873212765E9</v>
      </c>
      <c r="B129" s="3">
        <v>42465.0</v>
      </c>
      <c r="C129" s="1">
        <v>8432.0</v>
      </c>
      <c r="D129" s="1">
        <v>5.67000007629395</v>
      </c>
      <c r="E129" s="1">
        <v>5.67000007629395</v>
      </c>
      <c r="F129" s="1">
        <v>0.0</v>
      </c>
      <c r="G129" s="1">
        <v>0.0</v>
      </c>
      <c r="H129" s="1">
        <v>0.0</v>
      </c>
      <c r="I129" s="1">
        <v>5.65000009536743</v>
      </c>
      <c r="J129" s="1">
        <v>0.00999999977648258</v>
      </c>
      <c r="K129" s="1">
        <v>0.0</v>
      </c>
      <c r="L129" s="1">
        <v>0.0</v>
      </c>
      <c r="M129" s="1">
        <v>374.0</v>
      </c>
      <c r="N129" s="1">
        <v>1066.0</v>
      </c>
      <c r="O129" s="1">
        <v>1953.0</v>
      </c>
      <c r="P129" s="4">
        <f t="shared" si="1"/>
        <v>2</v>
      </c>
      <c r="Q129" s="4" t="str">
        <f t="shared" si="2"/>
        <v>Tuesday</v>
      </c>
      <c r="R129" s="4">
        <f t="shared" si="3"/>
        <v>11.34000015</v>
      </c>
      <c r="S129" s="2">
        <f t="shared" si="4"/>
        <v>0</v>
      </c>
      <c r="T129" s="4" t="str">
        <f t="shared" si="5"/>
        <v>Low</v>
      </c>
    </row>
    <row r="130">
      <c r="A130" s="1">
        <v>2.873212765E9</v>
      </c>
      <c r="B130" s="3">
        <v>42466.0</v>
      </c>
      <c r="C130" s="1">
        <v>7350.0</v>
      </c>
      <c r="D130" s="1">
        <v>4.94000005722046</v>
      </c>
      <c r="E130" s="1">
        <v>4.94000005722046</v>
      </c>
      <c r="F130" s="1">
        <v>0.0</v>
      </c>
      <c r="G130" s="1">
        <v>0.0</v>
      </c>
      <c r="H130" s="1">
        <v>0.0</v>
      </c>
      <c r="I130" s="1">
        <v>4.94000005722046</v>
      </c>
      <c r="J130" s="1">
        <v>0.0</v>
      </c>
      <c r="K130" s="1">
        <v>0.0</v>
      </c>
      <c r="L130" s="1">
        <v>0.0</v>
      </c>
      <c r="M130" s="1">
        <v>382.0</v>
      </c>
      <c r="N130" s="1">
        <v>1058.0</v>
      </c>
      <c r="O130" s="1">
        <v>1910.0</v>
      </c>
      <c r="P130" s="4">
        <f t="shared" si="1"/>
        <v>3</v>
      </c>
      <c r="Q130" s="4" t="str">
        <f t="shared" si="2"/>
        <v>Wednesday</v>
      </c>
      <c r="R130" s="4">
        <f t="shared" si="3"/>
        <v>9.880000114</v>
      </c>
      <c r="S130" s="2">
        <f t="shared" si="4"/>
        <v>0</v>
      </c>
      <c r="T130" s="4" t="str">
        <f t="shared" si="5"/>
        <v>Low</v>
      </c>
    </row>
    <row r="131">
      <c r="A131" s="1">
        <v>2.873212765E9</v>
      </c>
      <c r="B131" s="3">
        <v>42467.0</v>
      </c>
      <c r="C131" s="1">
        <v>9353.0</v>
      </c>
      <c r="D131" s="1">
        <v>6.30999994277954</v>
      </c>
      <c r="E131" s="1">
        <v>6.30999994277954</v>
      </c>
      <c r="F131" s="1">
        <v>0.0</v>
      </c>
      <c r="G131" s="1">
        <v>0.370000004768372</v>
      </c>
      <c r="H131" s="1">
        <v>0.689999997615814</v>
      </c>
      <c r="I131" s="1">
        <v>5.23999977111816</v>
      </c>
      <c r="J131" s="1">
        <v>0.0</v>
      </c>
      <c r="K131" s="1">
        <v>5.0</v>
      </c>
      <c r="L131" s="1">
        <v>17.0</v>
      </c>
      <c r="M131" s="1">
        <v>363.0</v>
      </c>
      <c r="N131" s="1">
        <v>1055.0</v>
      </c>
      <c r="O131" s="1">
        <v>2035.0</v>
      </c>
      <c r="P131" s="4">
        <f t="shared" si="1"/>
        <v>4</v>
      </c>
      <c r="Q131" s="4" t="str">
        <f t="shared" si="2"/>
        <v>Thursday</v>
      </c>
      <c r="R131" s="4">
        <f t="shared" si="3"/>
        <v>12.61999989</v>
      </c>
      <c r="S131" s="2">
        <f t="shared" si="4"/>
        <v>0.01527777778</v>
      </c>
      <c r="T131" s="4" t="str">
        <f t="shared" si="5"/>
        <v>Low</v>
      </c>
    </row>
    <row r="132">
      <c r="A132" s="1">
        <v>2.873212765E9</v>
      </c>
      <c r="B132" s="3">
        <v>42468.0</v>
      </c>
      <c r="C132" s="1">
        <v>7157.0</v>
      </c>
      <c r="D132" s="1">
        <v>4.80999994277954</v>
      </c>
      <c r="E132" s="1">
        <v>4.80999994277954</v>
      </c>
      <c r="F132" s="1">
        <v>0.0</v>
      </c>
      <c r="G132" s="1">
        <v>0.0</v>
      </c>
      <c r="H132" s="1">
        <v>0.0</v>
      </c>
      <c r="I132" s="1">
        <v>4.80999994277954</v>
      </c>
      <c r="J132" s="1">
        <v>0.0</v>
      </c>
      <c r="K132" s="1">
        <v>0.0</v>
      </c>
      <c r="L132" s="1">
        <v>0.0</v>
      </c>
      <c r="M132" s="1">
        <v>380.0</v>
      </c>
      <c r="N132" s="1">
        <v>1060.0</v>
      </c>
      <c r="O132" s="1">
        <v>1944.0</v>
      </c>
      <c r="P132" s="4">
        <f t="shared" si="1"/>
        <v>5</v>
      </c>
      <c r="Q132" s="4" t="str">
        <f t="shared" si="2"/>
        <v>Friday</v>
      </c>
      <c r="R132" s="4">
        <f t="shared" si="3"/>
        <v>9.619999886</v>
      </c>
      <c r="S132" s="2">
        <f t="shared" si="4"/>
        <v>0</v>
      </c>
      <c r="T132" s="4" t="str">
        <f t="shared" si="5"/>
        <v>Low</v>
      </c>
    </row>
    <row r="133">
      <c r="A133" s="1">
        <v>2.873212765E9</v>
      </c>
      <c r="B133" s="3">
        <v>42469.0</v>
      </c>
      <c r="C133" s="1">
        <v>14103.0</v>
      </c>
      <c r="D133" s="1">
        <v>9.5600004196167</v>
      </c>
      <c r="E133" s="1">
        <v>9.5600004196167</v>
      </c>
      <c r="F133" s="1">
        <v>0.0</v>
      </c>
      <c r="G133" s="1">
        <v>3.01999998092651</v>
      </c>
      <c r="H133" s="1">
        <v>0.409999996423721</v>
      </c>
      <c r="I133" s="1">
        <v>6.1399998664856</v>
      </c>
      <c r="J133" s="1">
        <v>0.00999999977648258</v>
      </c>
      <c r="K133" s="1">
        <v>46.0</v>
      </c>
      <c r="L133" s="1">
        <v>8.0</v>
      </c>
      <c r="M133" s="1">
        <v>288.0</v>
      </c>
      <c r="N133" s="1">
        <v>1098.0</v>
      </c>
      <c r="O133" s="1">
        <v>2257.0</v>
      </c>
      <c r="P133" s="4">
        <f t="shared" si="1"/>
        <v>6</v>
      </c>
      <c r="Q133" s="4" t="str">
        <f t="shared" si="2"/>
        <v>Saturday</v>
      </c>
      <c r="R133" s="4">
        <f t="shared" si="3"/>
        <v>19.12000084</v>
      </c>
      <c r="S133" s="2">
        <f t="shared" si="4"/>
        <v>0.0375</v>
      </c>
      <c r="T133" s="4" t="str">
        <f t="shared" si="5"/>
        <v>High</v>
      </c>
    </row>
    <row r="134">
      <c r="A134" s="1">
        <v>2.873212765E9</v>
      </c>
      <c r="B134" s="3">
        <v>42470.0</v>
      </c>
      <c r="C134" s="1">
        <v>5290.0</v>
      </c>
      <c r="D134" s="1">
        <v>3.54999995231628</v>
      </c>
      <c r="E134" s="1">
        <v>3.54999995231628</v>
      </c>
      <c r="F134" s="1">
        <v>0.0</v>
      </c>
      <c r="G134" s="1">
        <v>0.0399999991059303</v>
      </c>
      <c r="H134" s="1">
        <v>0.340000003576279</v>
      </c>
      <c r="I134" s="1">
        <v>3.17000007629395</v>
      </c>
      <c r="J134" s="1">
        <v>0.0</v>
      </c>
      <c r="K134" s="1">
        <v>1.0</v>
      </c>
      <c r="L134" s="1">
        <v>8.0</v>
      </c>
      <c r="M134" s="1">
        <v>251.0</v>
      </c>
      <c r="N134" s="1">
        <v>1180.0</v>
      </c>
      <c r="O134" s="1">
        <v>1724.0</v>
      </c>
      <c r="P134" s="4">
        <f t="shared" si="1"/>
        <v>7</v>
      </c>
      <c r="Q134" s="4" t="str">
        <f t="shared" si="2"/>
        <v>Sunday</v>
      </c>
      <c r="R134" s="4">
        <f t="shared" si="3"/>
        <v>7.099999905</v>
      </c>
      <c r="S134" s="2">
        <f t="shared" si="4"/>
        <v>0.00625</v>
      </c>
      <c r="T134" s="4" t="str">
        <f t="shared" si="5"/>
        <v>Low</v>
      </c>
    </row>
    <row r="135">
      <c r="A135" s="1">
        <v>2.873212765E9</v>
      </c>
      <c r="B135" s="3">
        <v>42471.0</v>
      </c>
      <c r="C135" s="1">
        <v>7497.0</v>
      </c>
      <c r="D135" s="1">
        <v>5.03999996185303</v>
      </c>
      <c r="E135" s="1">
        <v>5.03999996185303</v>
      </c>
      <c r="F135" s="1">
        <v>0.0</v>
      </c>
      <c r="G135" s="1">
        <v>0.0</v>
      </c>
      <c r="H135" s="1">
        <v>0.0</v>
      </c>
      <c r="I135" s="1">
        <v>5.03999996185303</v>
      </c>
      <c r="J135" s="1">
        <v>0.0</v>
      </c>
      <c r="K135" s="1">
        <v>0.0</v>
      </c>
      <c r="L135" s="1">
        <v>0.0</v>
      </c>
      <c r="M135" s="1">
        <v>357.0</v>
      </c>
      <c r="N135" s="1">
        <v>882.0</v>
      </c>
      <c r="O135" s="1">
        <v>1741.0</v>
      </c>
      <c r="P135" s="4">
        <f t="shared" si="1"/>
        <v>1</v>
      </c>
      <c r="Q135" s="4" t="str">
        <f t="shared" si="2"/>
        <v>Monday</v>
      </c>
      <c r="R135" s="4">
        <f t="shared" si="3"/>
        <v>10.07999992</v>
      </c>
      <c r="S135" s="2">
        <f t="shared" si="4"/>
        <v>0</v>
      </c>
      <c r="T135" s="4" t="str">
        <f t="shared" si="5"/>
        <v>Low</v>
      </c>
    </row>
    <row r="136">
      <c r="A136" s="1">
        <v>2.873212765E9</v>
      </c>
      <c r="B136" s="3">
        <v>42472.0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1440.0</v>
      </c>
      <c r="O136" s="1">
        <v>0.0</v>
      </c>
      <c r="P136" s="4">
        <f t="shared" si="1"/>
        <v>2</v>
      </c>
      <c r="Q136" s="4" t="str">
        <f t="shared" si="2"/>
        <v>Tuesday</v>
      </c>
      <c r="R136" s="4">
        <f t="shared" si="3"/>
        <v>0</v>
      </c>
      <c r="S136" s="2">
        <f t="shared" si="4"/>
        <v>0</v>
      </c>
      <c r="T136" s="4" t="str">
        <f t="shared" si="5"/>
        <v>Low</v>
      </c>
    </row>
    <row r="137">
      <c r="A137" s="1">
        <v>2.891001357E9</v>
      </c>
      <c r="B137" s="3">
        <v>42458.0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1440.0</v>
      </c>
      <c r="O137" s="1">
        <v>1920.0</v>
      </c>
      <c r="P137" s="4">
        <f t="shared" si="1"/>
        <v>2</v>
      </c>
      <c r="Q137" s="4" t="str">
        <f t="shared" si="2"/>
        <v>Tuesday</v>
      </c>
      <c r="R137" s="4">
        <f t="shared" si="3"/>
        <v>0</v>
      </c>
      <c r="S137" s="2">
        <f t="shared" si="4"/>
        <v>0</v>
      </c>
      <c r="T137" s="4" t="str">
        <f t="shared" si="5"/>
        <v>Low</v>
      </c>
    </row>
    <row r="138">
      <c r="A138" s="1">
        <v>2.891001357E9</v>
      </c>
      <c r="B138" s="3">
        <v>42459.0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1440.0</v>
      </c>
      <c r="O138" s="1">
        <v>1920.0</v>
      </c>
      <c r="P138" s="4">
        <f t="shared" si="1"/>
        <v>3</v>
      </c>
      <c r="Q138" s="4" t="str">
        <f t="shared" si="2"/>
        <v>Wednesday</v>
      </c>
      <c r="R138" s="4">
        <f t="shared" si="3"/>
        <v>0</v>
      </c>
      <c r="S138" s="2">
        <f t="shared" si="4"/>
        <v>0</v>
      </c>
      <c r="T138" s="4" t="str">
        <f t="shared" si="5"/>
        <v>Low</v>
      </c>
    </row>
    <row r="139">
      <c r="A139" s="1">
        <v>2.891001357E9</v>
      </c>
      <c r="B139" s="3">
        <v>42460.0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1440.0</v>
      </c>
      <c r="O139" s="1">
        <v>1920.0</v>
      </c>
      <c r="P139" s="4">
        <f t="shared" si="1"/>
        <v>4</v>
      </c>
      <c r="Q139" s="4" t="str">
        <f t="shared" si="2"/>
        <v>Thursday</v>
      </c>
      <c r="R139" s="4">
        <f t="shared" si="3"/>
        <v>0</v>
      </c>
      <c r="S139" s="2">
        <f t="shared" si="4"/>
        <v>0</v>
      </c>
      <c r="T139" s="4" t="str">
        <f t="shared" si="5"/>
        <v>Low</v>
      </c>
    </row>
    <row r="140">
      <c r="A140" s="1">
        <v>2.891001357E9</v>
      </c>
      <c r="B140" s="3">
        <v>42461.0</v>
      </c>
      <c r="C140" s="1">
        <v>0.0</v>
      </c>
      <c r="D140" s="1">
        <v>0.0</v>
      </c>
      <c r="E140" s="1">
        <v>0.0</v>
      </c>
      <c r="F140" s="1">
        <v>4.82803201675415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660.0</v>
      </c>
      <c r="M140" s="1">
        <v>0.0</v>
      </c>
      <c r="N140" s="1">
        <v>780.0</v>
      </c>
      <c r="O140" s="1">
        <v>4562.0</v>
      </c>
      <c r="P140" s="4">
        <f t="shared" si="1"/>
        <v>5</v>
      </c>
      <c r="Q140" s="4" t="str">
        <f t="shared" si="2"/>
        <v>Friday</v>
      </c>
      <c r="R140" s="4">
        <f t="shared" si="3"/>
        <v>4.828032017</v>
      </c>
      <c r="S140" s="2">
        <f t="shared" si="4"/>
        <v>0.4583333333</v>
      </c>
      <c r="T140" s="4" t="str">
        <f t="shared" si="5"/>
        <v>Low</v>
      </c>
    </row>
    <row r="141">
      <c r="A141" s="1">
        <v>2.891001357E9</v>
      </c>
      <c r="B141" s="3">
        <v>42462.0</v>
      </c>
      <c r="C141" s="1">
        <v>4126.0</v>
      </c>
      <c r="D141" s="1">
        <v>3.22000002861023</v>
      </c>
      <c r="E141" s="1">
        <v>0.0</v>
      </c>
      <c r="F141" s="1">
        <v>3.21868801116943</v>
      </c>
      <c r="G141" s="1">
        <v>0.0</v>
      </c>
      <c r="H141" s="1">
        <v>0.0</v>
      </c>
      <c r="I141" s="1">
        <v>3.22000002861023</v>
      </c>
      <c r="J141" s="1">
        <v>0.0</v>
      </c>
      <c r="K141" s="1">
        <v>0.0</v>
      </c>
      <c r="L141" s="1">
        <v>0.0</v>
      </c>
      <c r="M141" s="1">
        <v>720.0</v>
      </c>
      <c r="N141" s="1">
        <v>720.0</v>
      </c>
      <c r="O141" s="1">
        <v>2881.0</v>
      </c>
      <c r="P141" s="4">
        <f t="shared" si="1"/>
        <v>6</v>
      </c>
      <c r="Q141" s="4" t="str">
        <f t="shared" si="2"/>
        <v>Saturday</v>
      </c>
      <c r="R141" s="4">
        <f t="shared" si="3"/>
        <v>6.43868804</v>
      </c>
      <c r="S141" s="2">
        <f t="shared" si="4"/>
        <v>0</v>
      </c>
      <c r="T141" s="4" t="str">
        <f t="shared" si="5"/>
        <v>Low</v>
      </c>
    </row>
    <row r="142">
      <c r="A142" s="1">
        <v>2.891001357E9</v>
      </c>
      <c r="B142" s="3">
        <v>42463.0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1440.0</v>
      </c>
      <c r="O142" s="1">
        <v>1920.0</v>
      </c>
      <c r="P142" s="4">
        <f t="shared" si="1"/>
        <v>7</v>
      </c>
      <c r="Q142" s="4" t="str">
        <f t="shared" si="2"/>
        <v>Sunday</v>
      </c>
      <c r="R142" s="4">
        <f t="shared" si="3"/>
        <v>0</v>
      </c>
      <c r="S142" s="2">
        <f t="shared" si="4"/>
        <v>0</v>
      </c>
      <c r="T142" s="4" t="str">
        <f t="shared" si="5"/>
        <v>Low</v>
      </c>
    </row>
    <row r="143">
      <c r="A143" s="1">
        <v>2.891001357E9</v>
      </c>
      <c r="B143" s="3">
        <v>42464.0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1440.0</v>
      </c>
      <c r="O143" s="1">
        <v>1920.0</v>
      </c>
      <c r="P143" s="4">
        <f t="shared" si="1"/>
        <v>1</v>
      </c>
      <c r="Q143" s="4" t="str">
        <f t="shared" si="2"/>
        <v>Monday</v>
      </c>
      <c r="R143" s="4">
        <f t="shared" si="3"/>
        <v>0</v>
      </c>
      <c r="S143" s="2">
        <f t="shared" si="4"/>
        <v>0</v>
      </c>
      <c r="T143" s="4" t="str">
        <f t="shared" si="5"/>
        <v>Low</v>
      </c>
    </row>
    <row r="144">
      <c r="A144" s="1">
        <v>2.891001357E9</v>
      </c>
      <c r="B144" s="3">
        <v>42465.0</v>
      </c>
      <c r="C144" s="1">
        <v>2063.0</v>
      </c>
      <c r="D144" s="1">
        <v>1.61000001430511</v>
      </c>
      <c r="E144" s="1">
        <v>0.0</v>
      </c>
      <c r="F144" s="1">
        <v>1.60934400558472</v>
      </c>
      <c r="G144" s="1">
        <v>0.0</v>
      </c>
      <c r="H144" s="1">
        <v>0.0</v>
      </c>
      <c r="I144" s="1">
        <v>1.61000001430511</v>
      </c>
      <c r="J144" s="1">
        <v>0.0</v>
      </c>
      <c r="K144" s="1">
        <v>0.0</v>
      </c>
      <c r="L144" s="1">
        <v>0.0</v>
      </c>
      <c r="M144" s="1">
        <v>630.0</v>
      </c>
      <c r="N144" s="1">
        <v>99.0</v>
      </c>
      <c r="O144" s="1">
        <v>1144.0</v>
      </c>
      <c r="P144" s="4">
        <f t="shared" si="1"/>
        <v>2</v>
      </c>
      <c r="Q144" s="4" t="str">
        <f t="shared" si="2"/>
        <v>Tuesday</v>
      </c>
      <c r="R144" s="4">
        <f t="shared" si="3"/>
        <v>3.21934402</v>
      </c>
      <c r="S144" s="2">
        <f t="shared" si="4"/>
        <v>0</v>
      </c>
      <c r="T144" s="4" t="str">
        <f t="shared" si="5"/>
        <v>Low</v>
      </c>
    </row>
    <row r="145">
      <c r="A145" s="1">
        <v>3.372868164E9</v>
      </c>
      <c r="B145" s="3">
        <v>42461.0</v>
      </c>
      <c r="C145" s="1">
        <v>5785.0</v>
      </c>
      <c r="D145" s="1">
        <v>3.95000004768372</v>
      </c>
      <c r="E145" s="1">
        <v>3.95000004768372</v>
      </c>
      <c r="F145" s="1">
        <v>0.0</v>
      </c>
      <c r="G145" s="1">
        <v>0.0</v>
      </c>
      <c r="H145" s="1">
        <v>0.0</v>
      </c>
      <c r="I145" s="1">
        <v>3.91000008583069</v>
      </c>
      <c r="J145" s="1">
        <v>0.0399999991059303</v>
      </c>
      <c r="K145" s="1">
        <v>0.0</v>
      </c>
      <c r="L145" s="1">
        <v>0.0</v>
      </c>
      <c r="M145" s="1">
        <v>311.0</v>
      </c>
      <c r="N145" s="1">
        <v>1129.0</v>
      </c>
      <c r="O145" s="1">
        <v>1852.0</v>
      </c>
      <c r="P145" s="4">
        <f t="shared" si="1"/>
        <v>5</v>
      </c>
      <c r="Q145" s="4" t="str">
        <f t="shared" si="2"/>
        <v>Friday</v>
      </c>
      <c r="R145" s="4">
        <f t="shared" si="3"/>
        <v>7.900000095</v>
      </c>
      <c r="S145" s="2">
        <f t="shared" si="4"/>
        <v>0</v>
      </c>
      <c r="T145" s="4" t="str">
        <f t="shared" si="5"/>
        <v>Low</v>
      </c>
    </row>
    <row r="146">
      <c r="A146" s="1">
        <v>3.372868164E9</v>
      </c>
      <c r="B146" s="3">
        <v>42462.0</v>
      </c>
      <c r="C146" s="1">
        <v>7625.0</v>
      </c>
      <c r="D146" s="1">
        <v>5.23000001907349</v>
      </c>
      <c r="E146" s="1">
        <v>5.23000001907349</v>
      </c>
      <c r="F146" s="1">
        <v>0.0</v>
      </c>
      <c r="G146" s="1">
        <v>1.67999994754791</v>
      </c>
      <c r="H146" s="1">
        <v>0.0399999991059303</v>
      </c>
      <c r="I146" s="1">
        <v>3.5</v>
      </c>
      <c r="J146" s="1">
        <v>0.00999999977648258</v>
      </c>
      <c r="K146" s="1">
        <v>24.0</v>
      </c>
      <c r="L146" s="1">
        <v>1.0</v>
      </c>
      <c r="M146" s="1">
        <v>341.0</v>
      </c>
      <c r="N146" s="1">
        <v>1074.0</v>
      </c>
      <c r="O146" s="1">
        <v>2069.0</v>
      </c>
      <c r="P146" s="4">
        <f t="shared" si="1"/>
        <v>6</v>
      </c>
      <c r="Q146" s="4" t="str">
        <f t="shared" si="2"/>
        <v>Saturday</v>
      </c>
      <c r="R146" s="4">
        <f t="shared" si="3"/>
        <v>10.46000004</v>
      </c>
      <c r="S146" s="2">
        <f t="shared" si="4"/>
        <v>0.01736111111</v>
      </c>
      <c r="T146" s="4" t="str">
        <f t="shared" si="5"/>
        <v>Moderate</v>
      </c>
    </row>
    <row r="147">
      <c r="A147" s="1">
        <v>3.372868164E9</v>
      </c>
      <c r="B147" s="3">
        <v>42463.0</v>
      </c>
      <c r="C147" s="1">
        <v>4706.0</v>
      </c>
      <c r="D147" s="1">
        <v>3.21000003814697</v>
      </c>
      <c r="E147" s="1">
        <v>3.21000003814697</v>
      </c>
      <c r="F147" s="1">
        <v>0.0</v>
      </c>
      <c r="G147" s="1">
        <v>0.0</v>
      </c>
      <c r="H147" s="1">
        <v>0.0</v>
      </c>
      <c r="I147" s="1">
        <v>3.21000003814697</v>
      </c>
      <c r="J147" s="1">
        <v>0.0</v>
      </c>
      <c r="K147" s="1">
        <v>0.0</v>
      </c>
      <c r="L147" s="1">
        <v>0.0</v>
      </c>
      <c r="M147" s="1">
        <v>299.0</v>
      </c>
      <c r="N147" s="1">
        <v>1141.0</v>
      </c>
      <c r="O147" s="1">
        <v>1816.0</v>
      </c>
      <c r="P147" s="4">
        <f t="shared" si="1"/>
        <v>7</v>
      </c>
      <c r="Q147" s="4" t="str">
        <f t="shared" si="2"/>
        <v>Sunday</v>
      </c>
      <c r="R147" s="4">
        <f t="shared" si="3"/>
        <v>6.420000076</v>
      </c>
      <c r="S147" s="2">
        <f t="shared" si="4"/>
        <v>0</v>
      </c>
      <c r="T147" s="4" t="str">
        <f t="shared" si="5"/>
        <v>Low</v>
      </c>
    </row>
    <row r="148">
      <c r="A148" s="1">
        <v>3.372868164E9</v>
      </c>
      <c r="B148" s="3">
        <v>42464.0</v>
      </c>
      <c r="C148" s="1">
        <v>5861.0</v>
      </c>
      <c r="D148" s="1">
        <v>4.01999998092651</v>
      </c>
      <c r="E148" s="1">
        <v>4.01999998092651</v>
      </c>
      <c r="F148" s="1">
        <v>0.0</v>
      </c>
      <c r="G148" s="1">
        <v>1.29999995231628</v>
      </c>
      <c r="H148" s="1">
        <v>0.219999998807907</v>
      </c>
      <c r="I148" s="1">
        <v>2.49000000953674</v>
      </c>
      <c r="J148" s="1">
        <v>0.00999999977648258</v>
      </c>
      <c r="K148" s="1">
        <v>20.0</v>
      </c>
      <c r="L148" s="1">
        <v>7.0</v>
      </c>
      <c r="M148" s="1">
        <v>233.0</v>
      </c>
      <c r="N148" s="1">
        <v>1180.0</v>
      </c>
      <c r="O148" s="1">
        <v>1878.0</v>
      </c>
      <c r="P148" s="4">
        <f t="shared" si="1"/>
        <v>1</v>
      </c>
      <c r="Q148" s="4" t="str">
        <f t="shared" si="2"/>
        <v>Monday</v>
      </c>
      <c r="R148" s="4">
        <f t="shared" si="3"/>
        <v>8.039999962</v>
      </c>
      <c r="S148" s="2">
        <f t="shared" si="4"/>
        <v>0.01875</v>
      </c>
      <c r="T148" s="4" t="str">
        <f t="shared" si="5"/>
        <v>Moderate</v>
      </c>
    </row>
    <row r="149">
      <c r="A149" s="1">
        <v>3.372868164E9</v>
      </c>
      <c r="B149" s="3">
        <v>42465.0</v>
      </c>
      <c r="C149" s="1">
        <v>4460.0</v>
      </c>
      <c r="D149" s="1">
        <v>3.03999996185303</v>
      </c>
      <c r="E149" s="1">
        <v>3.03999996185303</v>
      </c>
      <c r="F149" s="1">
        <v>0.0</v>
      </c>
      <c r="G149" s="1">
        <v>0.0</v>
      </c>
      <c r="H149" s="1">
        <v>0.0</v>
      </c>
      <c r="I149" s="1">
        <v>3.01999998092651</v>
      </c>
      <c r="J149" s="1">
        <v>0.0299999993294477</v>
      </c>
      <c r="K149" s="1">
        <v>0.0</v>
      </c>
      <c r="L149" s="1">
        <v>0.0</v>
      </c>
      <c r="M149" s="1">
        <v>248.0</v>
      </c>
      <c r="N149" s="1">
        <v>1192.0</v>
      </c>
      <c r="O149" s="1">
        <v>1787.0</v>
      </c>
      <c r="P149" s="4">
        <f t="shared" si="1"/>
        <v>2</v>
      </c>
      <c r="Q149" s="4" t="str">
        <f t="shared" si="2"/>
        <v>Tuesday</v>
      </c>
      <c r="R149" s="4">
        <f t="shared" si="3"/>
        <v>6.079999924</v>
      </c>
      <c r="S149" s="2">
        <f t="shared" si="4"/>
        <v>0</v>
      </c>
      <c r="T149" s="4" t="str">
        <f t="shared" si="5"/>
        <v>Low</v>
      </c>
    </row>
    <row r="150">
      <c r="A150" s="1">
        <v>3.372868164E9</v>
      </c>
      <c r="B150" s="3">
        <v>42466.0</v>
      </c>
      <c r="C150" s="1">
        <v>6406.0</v>
      </c>
      <c r="D150" s="1">
        <v>4.3899998664856</v>
      </c>
      <c r="E150" s="1">
        <v>4.3899998664856</v>
      </c>
      <c r="F150" s="1">
        <v>0.0</v>
      </c>
      <c r="G150" s="1">
        <v>0.779999971389771</v>
      </c>
      <c r="H150" s="1">
        <v>0.0900000035762787</v>
      </c>
      <c r="I150" s="1">
        <v>3.51999998092651</v>
      </c>
      <c r="J150" s="1">
        <v>0.00999999977648258</v>
      </c>
      <c r="K150" s="1">
        <v>17.0</v>
      </c>
      <c r="L150" s="1">
        <v>4.0</v>
      </c>
      <c r="M150" s="1">
        <v>325.0</v>
      </c>
      <c r="N150" s="1">
        <v>1094.0</v>
      </c>
      <c r="O150" s="1">
        <v>2010.0</v>
      </c>
      <c r="P150" s="4">
        <f t="shared" si="1"/>
        <v>3</v>
      </c>
      <c r="Q150" s="4" t="str">
        <f t="shared" si="2"/>
        <v>Wednesday</v>
      </c>
      <c r="R150" s="4">
        <f t="shared" si="3"/>
        <v>8.779999733</v>
      </c>
      <c r="S150" s="2">
        <f t="shared" si="4"/>
        <v>0.01458333333</v>
      </c>
      <c r="T150" s="4" t="str">
        <f t="shared" si="5"/>
        <v>Moderate</v>
      </c>
    </row>
    <row r="151">
      <c r="A151" s="1">
        <v>3.372868164E9</v>
      </c>
      <c r="B151" s="3">
        <v>42467.0</v>
      </c>
      <c r="C151" s="1">
        <v>7392.0</v>
      </c>
      <c r="D151" s="1">
        <v>5.09999990463257</v>
      </c>
      <c r="E151" s="1">
        <v>5.09999990463257</v>
      </c>
      <c r="F151" s="1">
        <v>0.0</v>
      </c>
      <c r="G151" s="1">
        <v>0.870000004768372</v>
      </c>
      <c r="H151" s="1">
        <v>0.159999996423721</v>
      </c>
      <c r="I151" s="1">
        <v>4.05000019073486</v>
      </c>
      <c r="J151" s="1">
        <v>0.0199999995529652</v>
      </c>
      <c r="K151" s="1">
        <v>14.0</v>
      </c>
      <c r="L151" s="1">
        <v>9.0</v>
      </c>
      <c r="M151" s="1">
        <v>332.0</v>
      </c>
      <c r="N151" s="1">
        <v>1085.0</v>
      </c>
      <c r="O151" s="1">
        <v>2038.0</v>
      </c>
      <c r="P151" s="4">
        <f t="shared" si="1"/>
        <v>4</v>
      </c>
      <c r="Q151" s="4" t="str">
        <f t="shared" si="2"/>
        <v>Thursday</v>
      </c>
      <c r="R151" s="4">
        <f t="shared" si="3"/>
        <v>10.19999981</v>
      </c>
      <c r="S151" s="2">
        <f t="shared" si="4"/>
        <v>0.01597222222</v>
      </c>
      <c r="T151" s="4" t="str">
        <f t="shared" si="5"/>
        <v>Low</v>
      </c>
    </row>
    <row r="152">
      <c r="A152" s="1">
        <v>3.372868164E9</v>
      </c>
      <c r="B152" s="3">
        <v>42468.0</v>
      </c>
      <c r="C152" s="1">
        <v>5551.0</v>
      </c>
      <c r="D152" s="1">
        <v>3.78999996185303</v>
      </c>
      <c r="E152" s="1">
        <v>3.78999996185303</v>
      </c>
      <c r="F152" s="1">
        <v>0.0</v>
      </c>
      <c r="G152" s="1">
        <v>0.0</v>
      </c>
      <c r="H152" s="1">
        <v>0.0</v>
      </c>
      <c r="I152" s="1">
        <v>3.76999998092651</v>
      </c>
      <c r="J152" s="1">
        <v>0.00999999977648258</v>
      </c>
      <c r="K152" s="1">
        <v>0.0</v>
      </c>
      <c r="L152" s="1">
        <v>0.0</v>
      </c>
      <c r="M152" s="1">
        <v>282.0</v>
      </c>
      <c r="N152" s="1">
        <v>1158.0</v>
      </c>
      <c r="O152" s="1">
        <v>1815.0</v>
      </c>
      <c r="P152" s="4">
        <f t="shared" si="1"/>
        <v>5</v>
      </c>
      <c r="Q152" s="4" t="str">
        <f t="shared" si="2"/>
        <v>Friday</v>
      </c>
      <c r="R152" s="4">
        <f t="shared" si="3"/>
        <v>7.579999924</v>
      </c>
      <c r="S152" s="2">
        <f t="shared" si="4"/>
        <v>0</v>
      </c>
      <c r="T152" s="4" t="str">
        <f t="shared" si="5"/>
        <v>Low</v>
      </c>
    </row>
    <row r="153">
      <c r="A153" s="1">
        <v>3.372868164E9</v>
      </c>
      <c r="B153" s="3">
        <v>42469.0</v>
      </c>
      <c r="C153" s="1">
        <v>8827.0</v>
      </c>
      <c r="D153" s="1">
        <v>6.25</v>
      </c>
      <c r="E153" s="1">
        <v>6.25</v>
      </c>
      <c r="F153" s="1">
        <v>0.0</v>
      </c>
      <c r="G153" s="1">
        <v>1.76999998092651</v>
      </c>
      <c r="H153" s="1">
        <v>0.479999989271164</v>
      </c>
      <c r="I153" s="1">
        <v>4.0</v>
      </c>
      <c r="J153" s="1">
        <v>0.00999999977648258</v>
      </c>
      <c r="K153" s="1">
        <v>21.0</v>
      </c>
      <c r="L153" s="1">
        <v>10.0</v>
      </c>
      <c r="M153" s="1">
        <v>346.0</v>
      </c>
      <c r="N153" s="1">
        <v>1063.0</v>
      </c>
      <c r="O153" s="1">
        <v>2062.0</v>
      </c>
      <c r="P153" s="4">
        <f t="shared" si="1"/>
        <v>6</v>
      </c>
      <c r="Q153" s="4" t="str">
        <f t="shared" si="2"/>
        <v>Saturday</v>
      </c>
      <c r="R153" s="4">
        <f t="shared" si="3"/>
        <v>12.5</v>
      </c>
      <c r="S153" s="2">
        <f t="shared" si="4"/>
        <v>0.02152777778</v>
      </c>
      <c r="T153" s="4" t="str">
        <f t="shared" si="5"/>
        <v>Moderate</v>
      </c>
    </row>
    <row r="154">
      <c r="A154" s="1">
        <v>3.372868164E9</v>
      </c>
      <c r="B154" s="3">
        <v>42470.0</v>
      </c>
      <c r="C154" s="1">
        <v>4662.0</v>
      </c>
      <c r="D154" s="1">
        <v>3.1800000667572</v>
      </c>
      <c r="E154" s="1">
        <v>3.1800000667572</v>
      </c>
      <c r="F154" s="1">
        <v>0.0</v>
      </c>
      <c r="G154" s="1">
        <v>1.03999996185303</v>
      </c>
      <c r="H154" s="1">
        <v>0.150000005960464</v>
      </c>
      <c r="I154" s="1">
        <v>1.99000000953674</v>
      </c>
      <c r="J154" s="1">
        <v>0.0</v>
      </c>
      <c r="K154" s="1">
        <v>22.0</v>
      </c>
      <c r="L154" s="1">
        <v>4.0</v>
      </c>
      <c r="M154" s="1">
        <v>152.0</v>
      </c>
      <c r="N154" s="1">
        <v>735.0</v>
      </c>
      <c r="O154" s="1">
        <v>1276.0</v>
      </c>
      <c r="P154" s="4">
        <f t="shared" si="1"/>
        <v>7</v>
      </c>
      <c r="Q154" s="4" t="str">
        <f t="shared" si="2"/>
        <v>Sunday</v>
      </c>
      <c r="R154" s="4">
        <f t="shared" si="3"/>
        <v>6.360000134</v>
      </c>
      <c r="S154" s="2">
        <f t="shared" si="4"/>
        <v>0.02847754655</v>
      </c>
      <c r="T154" s="4" t="str">
        <f t="shared" si="5"/>
        <v>Moderate</v>
      </c>
    </row>
    <row r="155">
      <c r="A155" s="1">
        <v>3.977333714E9</v>
      </c>
      <c r="B155" s="3">
        <v>42461.0</v>
      </c>
      <c r="C155" s="1">
        <v>4499.0</v>
      </c>
      <c r="D155" s="1">
        <v>3.00999999046326</v>
      </c>
      <c r="E155" s="1">
        <v>3.00999999046326</v>
      </c>
      <c r="F155" s="1">
        <v>0.0</v>
      </c>
      <c r="G155" s="1">
        <v>0.0</v>
      </c>
      <c r="H155" s="1">
        <v>0.0</v>
      </c>
      <c r="I155" s="1">
        <v>3.00999999046326</v>
      </c>
      <c r="J155" s="1">
        <v>0.0</v>
      </c>
      <c r="K155" s="1">
        <v>0.0</v>
      </c>
      <c r="L155" s="1">
        <v>0.0</v>
      </c>
      <c r="M155" s="1">
        <v>168.0</v>
      </c>
      <c r="N155" s="1">
        <v>842.0</v>
      </c>
      <c r="O155" s="1">
        <v>1288.0</v>
      </c>
      <c r="P155" s="4">
        <f t="shared" si="1"/>
        <v>5</v>
      </c>
      <c r="Q155" s="4" t="str">
        <f t="shared" si="2"/>
        <v>Friday</v>
      </c>
      <c r="R155" s="4">
        <f t="shared" si="3"/>
        <v>6.019999981</v>
      </c>
      <c r="S155" s="2">
        <f t="shared" si="4"/>
        <v>0</v>
      </c>
      <c r="T155" s="4" t="str">
        <f t="shared" si="5"/>
        <v>Low</v>
      </c>
    </row>
    <row r="156">
      <c r="A156" s="1">
        <v>3.977333714E9</v>
      </c>
      <c r="B156" s="3">
        <v>42462.0</v>
      </c>
      <c r="C156" s="1">
        <v>7618.0</v>
      </c>
      <c r="D156" s="1">
        <v>5.09999990463257</v>
      </c>
      <c r="E156" s="1">
        <v>5.09999990463257</v>
      </c>
      <c r="F156" s="1">
        <v>0.0</v>
      </c>
      <c r="G156" s="1">
        <v>0.0</v>
      </c>
      <c r="H156" s="1">
        <v>0.180000007152557</v>
      </c>
      <c r="I156" s="1">
        <v>4.90999984741211</v>
      </c>
      <c r="J156" s="1">
        <v>0.0</v>
      </c>
      <c r="K156" s="1">
        <v>0.0</v>
      </c>
      <c r="L156" s="1">
        <v>6.0</v>
      </c>
      <c r="M156" s="1">
        <v>302.0</v>
      </c>
      <c r="N156" s="1">
        <v>842.0</v>
      </c>
      <c r="O156" s="1">
        <v>1490.0</v>
      </c>
      <c r="P156" s="4">
        <f t="shared" si="1"/>
        <v>6</v>
      </c>
      <c r="Q156" s="4" t="str">
        <f t="shared" si="2"/>
        <v>Saturday</v>
      </c>
      <c r="R156" s="4">
        <f t="shared" si="3"/>
        <v>10.19999981</v>
      </c>
      <c r="S156" s="2">
        <f t="shared" si="4"/>
        <v>0.005217391304</v>
      </c>
      <c r="T156" s="4" t="str">
        <f t="shared" si="5"/>
        <v>Low</v>
      </c>
    </row>
    <row r="157">
      <c r="A157" s="1">
        <v>3.977333714E9</v>
      </c>
      <c r="B157" s="3">
        <v>42463.0</v>
      </c>
      <c r="C157" s="1">
        <v>11508.0</v>
      </c>
      <c r="D157" s="1">
        <v>7.69999980926514</v>
      </c>
      <c r="E157" s="1">
        <v>7.69999980926514</v>
      </c>
      <c r="F157" s="1">
        <v>0.0</v>
      </c>
      <c r="G157" s="1">
        <v>2.17000007629395</v>
      </c>
      <c r="H157" s="1">
        <v>0.839999973773956</v>
      </c>
      <c r="I157" s="1">
        <v>4.69000005722046</v>
      </c>
      <c r="J157" s="1">
        <v>0.0</v>
      </c>
      <c r="K157" s="1">
        <v>29.0</v>
      </c>
      <c r="L157" s="1">
        <v>22.0</v>
      </c>
      <c r="M157" s="1">
        <v>282.0</v>
      </c>
      <c r="N157" s="1">
        <v>748.0</v>
      </c>
      <c r="O157" s="1">
        <v>1630.0</v>
      </c>
      <c r="P157" s="4">
        <f t="shared" si="1"/>
        <v>7</v>
      </c>
      <c r="Q157" s="4" t="str">
        <f t="shared" si="2"/>
        <v>Sunday</v>
      </c>
      <c r="R157" s="4">
        <f t="shared" si="3"/>
        <v>15.39999962</v>
      </c>
      <c r="S157" s="2">
        <f t="shared" si="4"/>
        <v>0.04717853839</v>
      </c>
      <c r="T157" s="4" t="str">
        <f t="shared" si="5"/>
        <v>Moderate</v>
      </c>
    </row>
    <row r="158">
      <c r="A158" s="1">
        <v>3.977333714E9</v>
      </c>
      <c r="B158" s="3">
        <v>42464.0</v>
      </c>
      <c r="C158" s="1">
        <v>11943.0</v>
      </c>
      <c r="D158" s="1">
        <v>7.98999977111816</v>
      </c>
      <c r="E158" s="1">
        <v>7.98999977111816</v>
      </c>
      <c r="F158" s="1">
        <v>0.0</v>
      </c>
      <c r="G158" s="1">
        <v>1.02999997138977</v>
      </c>
      <c r="H158" s="1">
        <v>2.00999999046326</v>
      </c>
      <c r="I158" s="1">
        <v>4.94999980926514</v>
      </c>
      <c r="J158" s="1">
        <v>0.0</v>
      </c>
      <c r="K158" s="1">
        <v>16.0</v>
      </c>
      <c r="L158" s="1">
        <v>43.0</v>
      </c>
      <c r="M158" s="1">
        <v>297.0</v>
      </c>
      <c r="N158" s="1">
        <v>710.0</v>
      </c>
      <c r="O158" s="1">
        <v>1648.0</v>
      </c>
      <c r="P158" s="4">
        <f t="shared" si="1"/>
        <v>1</v>
      </c>
      <c r="Q158" s="4" t="str">
        <f t="shared" si="2"/>
        <v>Monday</v>
      </c>
      <c r="R158" s="4">
        <f t="shared" si="3"/>
        <v>15.97999954</v>
      </c>
      <c r="S158" s="2">
        <f t="shared" si="4"/>
        <v>0.05534709193</v>
      </c>
      <c r="T158" s="4" t="str">
        <f t="shared" si="5"/>
        <v>Moderate</v>
      </c>
    </row>
    <row r="159">
      <c r="A159" s="1">
        <v>3.977333714E9</v>
      </c>
      <c r="B159" s="3">
        <v>42465.0</v>
      </c>
      <c r="C159" s="1">
        <v>12303.0</v>
      </c>
      <c r="D159" s="1">
        <v>8.22999954223633</v>
      </c>
      <c r="E159" s="1">
        <v>8.22999954223633</v>
      </c>
      <c r="F159" s="1">
        <v>0.0</v>
      </c>
      <c r="G159" s="1">
        <v>1.71000003814697</v>
      </c>
      <c r="H159" s="1">
        <v>1.35000002384186</v>
      </c>
      <c r="I159" s="1">
        <v>5.17000007629395</v>
      </c>
      <c r="J159" s="1">
        <v>0.0</v>
      </c>
      <c r="K159" s="1">
        <v>26.0</v>
      </c>
      <c r="L159" s="1">
        <v>32.0</v>
      </c>
      <c r="M159" s="1">
        <v>291.0</v>
      </c>
      <c r="N159" s="1">
        <v>605.0</v>
      </c>
      <c r="O159" s="1">
        <v>1649.0</v>
      </c>
      <c r="P159" s="4">
        <f t="shared" si="1"/>
        <v>2</v>
      </c>
      <c r="Q159" s="4" t="str">
        <f t="shared" si="2"/>
        <v>Tuesday</v>
      </c>
      <c r="R159" s="4">
        <f t="shared" si="3"/>
        <v>16.45999908</v>
      </c>
      <c r="S159" s="2">
        <f t="shared" si="4"/>
        <v>0.0607966457</v>
      </c>
      <c r="T159" s="4" t="str">
        <f t="shared" si="5"/>
        <v>Moderate</v>
      </c>
    </row>
    <row r="160">
      <c r="A160" s="1">
        <v>3.977333714E9</v>
      </c>
      <c r="B160" s="3">
        <v>42466.0</v>
      </c>
      <c r="C160" s="1">
        <v>15425.0</v>
      </c>
      <c r="D160" s="1">
        <v>10.3199996948242</v>
      </c>
      <c r="E160" s="1">
        <v>10.3199996948242</v>
      </c>
      <c r="F160" s="1">
        <v>0.0</v>
      </c>
      <c r="G160" s="1">
        <v>1.62000000476837</v>
      </c>
      <c r="H160" s="1">
        <v>1.82000005245209</v>
      </c>
      <c r="I160" s="1">
        <v>6.86999988555908</v>
      </c>
      <c r="J160" s="1">
        <v>0.0</v>
      </c>
      <c r="K160" s="1">
        <v>24.0</v>
      </c>
      <c r="L160" s="1">
        <v>45.0</v>
      </c>
      <c r="M160" s="1">
        <v>331.0</v>
      </c>
      <c r="N160" s="1">
        <v>614.0</v>
      </c>
      <c r="O160" s="1">
        <v>1783.0</v>
      </c>
      <c r="P160" s="4">
        <f t="shared" si="1"/>
        <v>3</v>
      </c>
      <c r="Q160" s="4" t="str">
        <f t="shared" si="2"/>
        <v>Wednesday</v>
      </c>
      <c r="R160" s="4">
        <f t="shared" si="3"/>
        <v>20.63999939</v>
      </c>
      <c r="S160" s="2">
        <f t="shared" si="4"/>
        <v>0.06804733728</v>
      </c>
      <c r="T160" s="4" t="str">
        <f t="shared" si="5"/>
        <v>Moderate</v>
      </c>
    </row>
    <row r="161">
      <c r="A161" s="1">
        <v>3.977333714E9</v>
      </c>
      <c r="B161" s="3">
        <v>42467.0</v>
      </c>
      <c r="C161" s="1">
        <v>8422.0</v>
      </c>
      <c r="D161" s="1">
        <v>5.63000011444092</v>
      </c>
      <c r="E161" s="1">
        <v>5.63000011444092</v>
      </c>
      <c r="F161" s="1">
        <v>0.0</v>
      </c>
      <c r="G161" s="1">
        <v>0.0</v>
      </c>
      <c r="H161" s="1">
        <v>3.59999990463257</v>
      </c>
      <c r="I161" s="1">
        <v>2.03999996185303</v>
      </c>
      <c r="J161" s="1">
        <v>0.0</v>
      </c>
      <c r="K161" s="1">
        <v>0.0</v>
      </c>
      <c r="L161" s="1">
        <v>81.0</v>
      </c>
      <c r="M161" s="1">
        <v>139.0</v>
      </c>
      <c r="N161" s="1">
        <v>815.0</v>
      </c>
      <c r="O161" s="1">
        <v>1431.0</v>
      </c>
      <c r="P161" s="4">
        <f t="shared" si="1"/>
        <v>4</v>
      </c>
      <c r="Q161" s="4" t="str">
        <f t="shared" si="2"/>
        <v>Thursday</v>
      </c>
      <c r="R161" s="4">
        <f t="shared" si="3"/>
        <v>11.26000023</v>
      </c>
      <c r="S161" s="2">
        <f t="shared" si="4"/>
        <v>0.07826086957</v>
      </c>
      <c r="T161" s="4" t="str">
        <f t="shared" si="5"/>
        <v>Low</v>
      </c>
    </row>
    <row r="162">
      <c r="A162" s="1">
        <v>3.977333714E9</v>
      </c>
      <c r="B162" s="3">
        <v>42468.0</v>
      </c>
      <c r="C162" s="1">
        <v>10226.0</v>
      </c>
      <c r="D162" s="1">
        <v>6.84000015258789</v>
      </c>
      <c r="E162" s="1">
        <v>6.84000015258789</v>
      </c>
      <c r="F162" s="1">
        <v>0.0</v>
      </c>
      <c r="G162" s="1">
        <v>0.0</v>
      </c>
      <c r="H162" s="1">
        <v>4.44000005722046</v>
      </c>
      <c r="I162" s="1">
        <v>2.40000009536743</v>
      </c>
      <c r="J162" s="1">
        <v>0.0</v>
      </c>
      <c r="K162" s="1">
        <v>0.0</v>
      </c>
      <c r="L162" s="1">
        <v>101.0</v>
      </c>
      <c r="M162" s="1">
        <v>174.0</v>
      </c>
      <c r="N162" s="1">
        <v>685.0</v>
      </c>
      <c r="O162" s="1">
        <v>1524.0</v>
      </c>
      <c r="P162" s="4">
        <f t="shared" si="1"/>
        <v>5</v>
      </c>
      <c r="Q162" s="4" t="str">
        <f t="shared" si="2"/>
        <v>Friday</v>
      </c>
      <c r="R162" s="4">
        <f t="shared" si="3"/>
        <v>13.68000031</v>
      </c>
      <c r="S162" s="2">
        <f t="shared" si="4"/>
        <v>0.1052083333</v>
      </c>
      <c r="T162" s="4" t="str">
        <f t="shared" si="5"/>
        <v>Low</v>
      </c>
    </row>
    <row r="163">
      <c r="A163" s="1">
        <v>3.977333714E9</v>
      </c>
      <c r="B163" s="3">
        <v>42469.0</v>
      </c>
      <c r="C163" s="1">
        <v>14583.0</v>
      </c>
      <c r="D163" s="1">
        <v>9.76000022888184</v>
      </c>
      <c r="E163" s="1">
        <v>9.76000022888184</v>
      </c>
      <c r="F163" s="1">
        <v>0.0</v>
      </c>
      <c r="G163" s="1">
        <v>2.48000001907349</v>
      </c>
      <c r="H163" s="1">
        <v>1.74000000953674</v>
      </c>
      <c r="I163" s="1">
        <v>5.53000020980835</v>
      </c>
      <c r="J163" s="1">
        <v>0.0</v>
      </c>
      <c r="K163" s="1">
        <v>35.0</v>
      </c>
      <c r="L163" s="1">
        <v>36.0</v>
      </c>
      <c r="M163" s="1">
        <v>254.0</v>
      </c>
      <c r="N163" s="1">
        <v>697.0</v>
      </c>
      <c r="O163" s="1">
        <v>1697.0</v>
      </c>
      <c r="P163" s="4">
        <f t="shared" si="1"/>
        <v>6</v>
      </c>
      <c r="Q163" s="4" t="str">
        <f t="shared" si="2"/>
        <v>Saturday</v>
      </c>
      <c r="R163" s="4">
        <f t="shared" si="3"/>
        <v>19.52000046</v>
      </c>
      <c r="S163" s="2">
        <f t="shared" si="4"/>
        <v>0.06947162427</v>
      </c>
      <c r="T163" s="4" t="str">
        <f t="shared" si="5"/>
        <v>High</v>
      </c>
    </row>
    <row r="164">
      <c r="A164" s="1">
        <v>3.977333714E9</v>
      </c>
      <c r="B164" s="3">
        <v>42470.0</v>
      </c>
      <c r="C164" s="1">
        <v>3573.0</v>
      </c>
      <c r="D164" s="1">
        <v>2.39000010490417</v>
      </c>
      <c r="E164" s="1">
        <v>2.39000010490417</v>
      </c>
      <c r="F164" s="1">
        <v>0.0</v>
      </c>
      <c r="G164" s="1">
        <v>0.939999997615814</v>
      </c>
      <c r="H164" s="1">
        <v>0.409999996423721</v>
      </c>
      <c r="I164" s="1">
        <v>0.970000028610229</v>
      </c>
      <c r="J164" s="1">
        <v>0.0</v>
      </c>
      <c r="K164" s="1">
        <v>15.0</v>
      </c>
      <c r="L164" s="1">
        <v>8.0</v>
      </c>
      <c r="M164" s="1">
        <v>99.0</v>
      </c>
      <c r="N164" s="1">
        <v>866.0</v>
      </c>
      <c r="O164" s="1">
        <v>1232.0</v>
      </c>
      <c r="P164" s="4">
        <f t="shared" si="1"/>
        <v>7</v>
      </c>
      <c r="Q164" s="4" t="str">
        <f t="shared" si="2"/>
        <v>Sunday</v>
      </c>
      <c r="R164" s="4">
        <f t="shared" si="3"/>
        <v>4.78000021</v>
      </c>
      <c r="S164" s="2">
        <f t="shared" si="4"/>
        <v>0.02327935223</v>
      </c>
      <c r="T164" s="4" t="str">
        <f t="shared" si="5"/>
        <v>Moderate</v>
      </c>
    </row>
    <row r="165">
      <c r="A165" s="1">
        <v>3.977333714E9</v>
      </c>
      <c r="B165" s="3">
        <v>42471.0</v>
      </c>
      <c r="C165" s="1">
        <v>3108.0</v>
      </c>
      <c r="D165" s="1">
        <v>2.14000010490417</v>
      </c>
      <c r="E165" s="1">
        <v>2.14000010490417</v>
      </c>
      <c r="F165" s="1">
        <v>0.0</v>
      </c>
      <c r="G165" s="1">
        <v>0.0700000002980232</v>
      </c>
      <c r="H165" s="1">
        <v>0.0399999991059303</v>
      </c>
      <c r="I165" s="1">
        <v>1.96000003814697</v>
      </c>
      <c r="J165" s="1">
        <v>0.0</v>
      </c>
      <c r="K165" s="1">
        <v>1.0</v>
      </c>
      <c r="L165" s="1">
        <v>1.0</v>
      </c>
      <c r="M165" s="1">
        <v>129.0</v>
      </c>
      <c r="N165" s="1">
        <v>894.0</v>
      </c>
      <c r="O165" s="1">
        <v>1223.0</v>
      </c>
      <c r="P165" s="4">
        <f t="shared" si="1"/>
        <v>1</v>
      </c>
      <c r="Q165" s="4" t="str">
        <f t="shared" si="2"/>
        <v>Monday</v>
      </c>
      <c r="R165" s="4">
        <f t="shared" si="3"/>
        <v>4.28000021</v>
      </c>
      <c r="S165" s="2">
        <f t="shared" si="4"/>
        <v>0.001951219512</v>
      </c>
      <c r="T165" s="4" t="str">
        <f t="shared" si="5"/>
        <v>Low</v>
      </c>
    </row>
    <row r="166">
      <c r="A166" s="1">
        <v>3.977333714E9</v>
      </c>
      <c r="B166" s="3">
        <v>42472.0</v>
      </c>
      <c r="C166" s="1">
        <v>759.0</v>
      </c>
      <c r="D166" s="1">
        <v>0.569999992847443</v>
      </c>
      <c r="E166" s="1">
        <v>0.569999992847443</v>
      </c>
      <c r="F166" s="1">
        <v>0.0</v>
      </c>
      <c r="G166" s="1">
        <v>0.0</v>
      </c>
      <c r="H166" s="1">
        <v>0.0</v>
      </c>
      <c r="I166" s="1">
        <v>0.569999992847443</v>
      </c>
      <c r="J166" s="1">
        <v>0.0</v>
      </c>
      <c r="K166" s="1">
        <v>0.0</v>
      </c>
      <c r="L166" s="1">
        <v>0.0</v>
      </c>
      <c r="M166" s="1">
        <v>17.0</v>
      </c>
      <c r="N166" s="1">
        <v>187.0</v>
      </c>
      <c r="O166" s="1">
        <v>182.0</v>
      </c>
      <c r="P166" s="4">
        <f t="shared" si="1"/>
        <v>2</v>
      </c>
      <c r="Q166" s="4" t="str">
        <f t="shared" si="2"/>
        <v>Tuesday</v>
      </c>
      <c r="R166" s="4">
        <f t="shared" si="3"/>
        <v>1.139999986</v>
      </c>
      <c r="S166" s="2">
        <f t="shared" si="4"/>
        <v>0</v>
      </c>
      <c r="T166" s="4" t="str">
        <f t="shared" si="5"/>
        <v>Low</v>
      </c>
    </row>
    <row r="167">
      <c r="A167" s="1">
        <v>4.02033265E9</v>
      </c>
      <c r="B167" s="3">
        <v>42441.0</v>
      </c>
      <c r="C167" s="1">
        <v>5543.0</v>
      </c>
      <c r="D167" s="1">
        <v>3.97000002861023</v>
      </c>
      <c r="E167" s="1">
        <v>3.97000002861023</v>
      </c>
      <c r="F167" s="1">
        <v>0.0</v>
      </c>
      <c r="G167" s="1">
        <v>0.0</v>
      </c>
      <c r="H167" s="1">
        <v>0.0</v>
      </c>
      <c r="I167" s="1">
        <v>3.96000003814697</v>
      </c>
      <c r="J167" s="1">
        <v>0.00999999977648258</v>
      </c>
      <c r="K167" s="1">
        <v>0.0</v>
      </c>
      <c r="L167" s="1">
        <v>0.0</v>
      </c>
      <c r="M167" s="1">
        <v>254.0</v>
      </c>
      <c r="N167" s="1">
        <v>757.0</v>
      </c>
      <c r="O167" s="1">
        <v>2990.0</v>
      </c>
      <c r="P167" s="4">
        <f t="shared" si="1"/>
        <v>6</v>
      </c>
      <c r="Q167" s="4" t="str">
        <f t="shared" si="2"/>
        <v>Saturday</v>
      </c>
      <c r="R167" s="4">
        <f t="shared" si="3"/>
        <v>7.940000057</v>
      </c>
      <c r="S167" s="2">
        <f t="shared" si="4"/>
        <v>0</v>
      </c>
      <c r="T167" s="4" t="str">
        <f t="shared" si="5"/>
        <v>Low</v>
      </c>
    </row>
    <row r="168">
      <c r="A168" s="1">
        <v>4.02033265E9</v>
      </c>
      <c r="B168" s="3">
        <v>42442.0</v>
      </c>
      <c r="C168" s="1">
        <v>3226.0</v>
      </c>
      <c r="D168" s="1">
        <v>2.30999994277954</v>
      </c>
      <c r="E168" s="1">
        <v>2.30999994277954</v>
      </c>
      <c r="F168" s="1">
        <v>0.0</v>
      </c>
      <c r="G168" s="1">
        <v>0.0</v>
      </c>
      <c r="H168" s="1">
        <v>0.0</v>
      </c>
      <c r="I168" s="1">
        <v>2.27999997138977</v>
      </c>
      <c r="J168" s="1">
        <v>0.0</v>
      </c>
      <c r="K168" s="1">
        <v>0.0</v>
      </c>
      <c r="L168" s="1">
        <v>0.0</v>
      </c>
      <c r="M168" s="1">
        <v>136.0</v>
      </c>
      <c r="N168" s="1">
        <v>771.0</v>
      </c>
      <c r="O168" s="1">
        <v>2480.0</v>
      </c>
      <c r="P168" s="4">
        <f t="shared" si="1"/>
        <v>7</v>
      </c>
      <c r="Q168" s="4" t="str">
        <f t="shared" si="2"/>
        <v>Sunday</v>
      </c>
      <c r="R168" s="4">
        <f t="shared" si="3"/>
        <v>4.619999886</v>
      </c>
      <c r="S168" s="2">
        <f t="shared" si="4"/>
        <v>0</v>
      </c>
      <c r="T168" s="4" t="str">
        <f t="shared" si="5"/>
        <v>Low</v>
      </c>
    </row>
    <row r="169">
      <c r="A169" s="1">
        <v>4.02033265E9</v>
      </c>
      <c r="B169" s="3">
        <v>42443.0</v>
      </c>
      <c r="C169" s="1">
        <v>3023.0</v>
      </c>
      <c r="D169" s="1">
        <v>2.17000007629395</v>
      </c>
      <c r="E169" s="1">
        <v>2.17000007629395</v>
      </c>
      <c r="F169" s="1">
        <v>0.0</v>
      </c>
      <c r="G169" s="1">
        <v>0.0</v>
      </c>
      <c r="H169" s="1">
        <v>0.0</v>
      </c>
      <c r="I169" s="1">
        <v>2.14000010490417</v>
      </c>
      <c r="J169" s="1">
        <v>0.0</v>
      </c>
      <c r="K169" s="1">
        <v>0.0</v>
      </c>
      <c r="L169" s="1">
        <v>0.0</v>
      </c>
      <c r="M169" s="1">
        <v>145.0</v>
      </c>
      <c r="N169" s="1">
        <v>1005.0</v>
      </c>
      <c r="O169" s="1">
        <v>2570.0</v>
      </c>
      <c r="P169" s="4">
        <f t="shared" si="1"/>
        <v>1</v>
      </c>
      <c r="Q169" s="4" t="str">
        <f t="shared" si="2"/>
        <v>Monday</v>
      </c>
      <c r="R169" s="4">
        <f t="shared" si="3"/>
        <v>4.340000153</v>
      </c>
      <c r="S169" s="2">
        <f t="shared" si="4"/>
        <v>0</v>
      </c>
      <c r="T169" s="4" t="str">
        <f t="shared" si="5"/>
        <v>Low</v>
      </c>
    </row>
    <row r="170">
      <c r="A170" s="1">
        <v>4.02033265E9</v>
      </c>
      <c r="B170" s="3">
        <v>42444.0</v>
      </c>
      <c r="C170" s="1">
        <v>5906.0</v>
      </c>
      <c r="D170" s="1">
        <v>4.23000001907349</v>
      </c>
      <c r="E170" s="1">
        <v>4.23000001907349</v>
      </c>
      <c r="F170" s="1">
        <v>0.0</v>
      </c>
      <c r="G170" s="1">
        <v>0.0</v>
      </c>
      <c r="H170" s="1">
        <v>0.159999996423721</v>
      </c>
      <c r="I170" s="1">
        <v>4.03999996185303</v>
      </c>
      <c r="J170" s="1">
        <v>0.0</v>
      </c>
      <c r="K170" s="1">
        <v>0.0</v>
      </c>
      <c r="L170" s="1">
        <v>10.0</v>
      </c>
      <c r="M170" s="1">
        <v>215.0</v>
      </c>
      <c r="N170" s="1">
        <v>874.0</v>
      </c>
      <c r="O170" s="1">
        <v>3016.0</v>
      </c>
      <c r="P170" s="4">
        <f t="shared" si="1"/>
        <v>2</v>
      </c>
      <c r="Q170" s="4" t="str">
        <f t="shared" si="2"/>
        <v>Tuesday</v>
      </c>
      <c r="R170" s="4">
        <f t="shared" si="3"/>
        <v>8.460000038</v>
      </c>
      <c r="S170" s="2">
        <f t="shared" si="4"/>
        <v>0.009099181074</v>
      </c>
      <c r="T170" s="4" t="str">
        <f t="shared" si="5"/>
        <v>Low</v>
      </c>
    </row>
    <row r="171">
      <c r="A171" s="1">
        <v>4.02033265E9</v>
      </c>
      <c r="B171" s="3">
        <v>42445.0</v>
      </c>
      <c r="C171" s="1">
        <v>12483.0</v>
      </c>
      <c r="D171" s="1">
        <v>8.98999977111816</v>
      </c>
      <c r="E171" s="1">
        <v>8.98999977111816</v>
      </c>
      <c r="F171" s="1">
        <v>0.0</v>
      </c>
      <c r="G171" s="1">
        <v>1.45000004768372</v>
      </c>
      <c r="H171" s="1">
        <v>0.569999992847443</v>
      </c>
      <c r="I171" s="1">
        <v>6.90000009536743</v>
      </c>
      <c r="J171" s="1">
        <v>0.0</v>
      </c>
      <c r="K171" s="1">
        <v>25.0</v>
      </c>
      <c r="L171" s="1">
        <v>14.0</v>
      </c>
      <c r="M171" s="1">
        <v>309.0</v>
      </c>
      <c r="N171" s="1">
        <v>599.0</v>
      </c>
      <c r="O171" s="1">
        <v>3830.0</v>
      </c>
      <c r="P171" s="4">
        <f t="shared" si="1"/>
        <v>3</v>
      </c>
      <c r="Q171" s="4" t="str">
        <f t="shared" si="2"/>
        <v>Wednesday</v>
      </c>
      <c r="R171" s="4">
        <f t="shared" si="3"/>
        <v>17.97999954</v>
      </c>
      <c r="S171" s="2">
        <f t="shared" si="4"/>
        <v>0.04118268215</v>
      </c>
      <c r="T171" s="4" t="str">
        <f t="shared" si="5"/>
        <v>Moderate</v>
      </c>
    </row>
    <row r="172">
      <c r="A172" s="1">
        <v>4.02033265E9</v>
      </c>
      <c r="B172" s="3">
        <v>42446.0</v>
      </c>
      <c r="C172" s="1">
        <v>8940.0</v>
      </c>
      <c r="D172" s="1">
        <v>6.40999984741211</v>
      </c>
      <c r="E172" s="1">
        <v>6.40999984741211</v>
      </c>
      <c r="F172" s="1">
        <v>0.0</v>
      </c>
      <c r="G172" s="1">
        <v>0.0</v>
      </c>
      <c r="H172" s="1">
        <v>0.0</v>
      </c>
      <c r="I172" s="1">
        <v>0.610000014305115</v>
      </c>
      <c r="J172" s="1">
        <v>0.0399999991059303</v>
      </c>
      <c r="K172" s="1">
        <v>0.0</v>
      </c>
      <c r="L172" s="1">
        <v>0.0</v>
      </c>
      <c r="M172" s="1">
        <v>47.0</v>
      </c>
      <c r="N172" s="1">
        <v>986.0</v>
      </c>
      <c r="O172" s="1">
        <v>3706.0</v>
      </c>
      <c r="P172" s="4">
        <f t="shared" si="1"/>
        <v>4</v>
      </c>
      <c r="Q172" s="4" t="str">
        <f t="shared" si="2"/>
        <v>Thursday</v>
      </c>
      <c r="R172" s="4">
        <f t="shared" si="3"/>
        <v>12.81999969</v>
      </c>
      <c r="S172" s="2">
        <f t="shared" si="4"/>
        <v>0</v>
      </c>
      <c r="T172" s="4" t="str">
        <f t="shared" si="5"/>
        <v>Low</v>
      </c>
    </row>
    <row r="173">
      <c r="A173" s="1">
        <v>4.02033265E9</v>
      </c>
      <c r="B173" s="3">
        <v>42447.0</v>
      </c>
      <c r="C173" s="1">
        <v>368.0</v>
      </c>
      <c r="D173" s="1">
        <v>0.259999990463257</v>
      </c>
      <c r="E173" s="1">
        <v>0.259999990463257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1440.0</v>
      </c>
      <c r="O173" s="1">
        <v>2024.0</v>
      </c>
      <c r="P173" s="4">
        <f t="shared" si="1"/>
        <v>5</v>
      </c>
      <c r="Q173" s="4" t="str">
        <f t="shared" si="2"/>
        <v>Friday</v>
      </c>
      <c r="R173" s="4">
        <f t="shared" si="3"/>
        <v>0.5199999809</v>
      </c>
      <c r="S173" s="2">
        <f t="shared" si="4"/>
        <v>0</v>
      </c>
      <c r="T173" s="4" t="str">
        <f t="shared" si="5"/>
        <v>Low</v>
      </c>
    </row>
    <row r="174">
      <c r="A174" s="1">
        <v>4.02033265E9</v>
      </c>
      <c r="B174" s="3">
        <v>42448.0</v>
      </c>
      <c r="C174" s="1">
        <v>5702.0</v>
      </c>
      <c r="D174" s="1">
        <v>4.09000015258789</v>
      </c>
      <c r="E174" s="1">
        <v>4.09000015258789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1440.0</v>
      </c>
      <c r="O174" s="1">
        <v>2980.0</v>
      </c>
      <c r="P174" s="4">
        <f t="shared" si="1"/>
        <v>6</v>
      </c>
      <c r="Q174" s="4" t="str">
        <f t="shared" si="2"/>
        <v>Saturday</v>
      </c>
      <c r="R174" s="4">
        <f t="shared" si="3"/>
        <v>8.180000305</v>
      </c>
      <c r="S174" s="2">
        <f t="shared" si="4"/>
        <v>0</v>
      </c>
      <c r="T174" s="4" t="str">
        <f t="shared" si="5"/>
        <v>Low</v>
      </c>
    </row>
    <row r="175">
      <c r="A175" s="1">
        <v>4.02033265E9</v>
      </c>
      <c r="B175" s="3">
        <v>42449.0</v>
      </c>
      <c r="C175" s="1">
        <v>10330.0</v>
      </c>
      <c r="D175" s="1">
        <v>7.40999984741211</v>
      </c>
      <c r="E175" s="1">
        <v>7.40999984741211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1440.0</v>
      </c>
      <c r="O175" s="1">
        <v>3728.0</v>
      </c>
      <c r="P175" s="4">
        <f t="shared" si="1"/>
        <v>7</v>
      </c>
      <c r="Q175" s="4" t="str">
        <f t="shared" si="2"/>
        <v>Sunday</v>
      </c>
      <c r="R175" s="4">
        <f t="shared" si="3"/>
        <v>14.81999969</v>
      </c>
      <c r="S175" s="2">
        <f t="shared" si="4"/>
        <v>0</v>
      </c>
      <c r="T175" s="4" t="str">
        <f t="shared" si="5"/>
        <v>Low</v>
      </c>
    </row>
    <row r="176">
      <c r="A176" s="1">
        <v>4.02033265E9</v>
      </c>
      <c r="B176" s="3">
        <v>42450.0</v>
      </c>
      <c r="C176" s="1">
        <v>8778.0</v>
      </c>
      <c r="D176" s="1">
        <v>6.28999996185303</v>
      </c>
      <c r="E176" s="1">
        <v>6.28999996185303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1440.0</v>
      </c>
      <c r="O176" s="1">
        <v>3348.0</v>
      </c>
      <c r="P176" s="4">
        <f t="shared" si="1"/>
        <v>1</v>
      </c>
      <c r="Q176" s="4" t="str">
        <f t="shared" si="2"/>
        <v>Monday</v>
      </c>
      <c r="R176" s="4">
        <f t="shared" si="3"/>
        <v>12.57999992</v>
      </c>
      <c r="S176" s="2">
        <f t="shared" si="4"/>
        <v>0</v>
      </c>
      <c r="T176" s="4" t="str">
        <f t="shared" si="5"/>
        <v>Low</v>
      </c>
    </row>
    <row r="177">
      <c r="A177" s="1">
        <v>4.02033265E9</v>
      </c>
      <c r="B177" s="3">
        <v>42451.0</v>
      </c>
      <c r="C177" s="1">
        <v>6662.0</v>
      </c>
      <c r="D177" s="1">
        <v>4.78000020980835</v>
      </c>
      <c r="E177" s="1">
        <v>4.78000020980835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1440.0</v>
      </c>
      <c r="O177" s="1">
        <v>3162.0</v>
      </c>
      <c r="P177" s="4">
        <f t="shared" si="1"/>
        <v>2</v>
      </c>
      <c r="Q177" s="4" t="str">
        <f t="shared" si="2"/>
        <v>Tuesday</v>
      </c>
      <c r="R177" s="4">
        <f t="shared" si="3"/>
        <v>9.56000042</v>
      </c>
      <c r="S177" s="2">
        <f t="shared" si="4"/>
        <v>0</v>
      </c>
      <c r="T177" s="4" t="str">
        <f t="shared" si="5"/>
        <v>Low</v>
      </c>
    </row>
    <row r="178">
      <c r="A178" s="1">
        <v>4.02033265E9</v>
      </c>
      <c r="B178" s="3">
        <v>42452.0</v>
      </c>
      <c r="C178" s="1">
        <v>6309.0</v>
      </c>
      <c r="D178" s="1">
        <v>4.51999998092651</v>
      </c>
      <c r="E178" s="1">
        <v>4.51999998092651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1440.0</v>
      </c>
      <c r="O178" s="1">
        <v>3140.0</v>
      </c>
      <c r="P178" s="4">
        <f t="shared" si="1"/>
        <v>3</v>
      </c>
      <c r="Q178" s="4" t="str">
        <f t="shared" si="2"/>
        <v>Wednesday</v>
      </c>
      <c r="R178" s="4">
        <f t="shared" si="3"/>
        <v>9.039999962</v>
      </c>
      <c r="S178" s="2">
        <f t="shared" si="4"/>
        <v>0</v>
      </c>
      <c r="T178" s="4" t="str">
        <f t="shared" si="5"/>
        <v>Low</v>
      </c>
    </row>
    <row r="179">
      <c r="A179" s="1">
        <v>4.02033265E9</v>
      </c>
      <c r="B179" s="3">
        <v>42453.0</v>
      </c>
      <c r="C179" s="1">
        <v>1951.0</v>
      </c>
      <c r="D179" s="1">
        <v>1.4099999666214</v>
      </c>
      <c r="E179" s="1">
        <v>1.4099999666214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1440.0</v>
      </c>
      <c r="O179" s="1">
        <v>1980.0</v>
      </c>
      <c r="P179" s="4">
        <f t="shared" si="1"/>
        <v>4</v>
      </c>
      <c r="Q179" s="4" t="str">
        <f t="shared" si="2"/>
        <v>Thursday</v>
      </c>
      <c r="R179" s="4">
        <f t="shared" si="3"/>
        <v>2.819999933</v>
      </c>
      <c r="S179" s="2">
        <f t="shared" si="4"/>
        <v>0</v>
      </c>
      <c r="T179" s="4" t="str">
        <f t="shared" si="5"/>
        <v>Low</v>
      </c>
    </row>
    <row r="180">
      <c r="A180" s="1">
        <v>4.02033265E9</v>
      </c>
      <c r="B180" s="3">
        <v>42454.0</v>
      </c>
      <c r="C180" s="1">
        <v>5563.0</v>
      </c>
      <c r="D180" s="1">
        <v>3.99000000953674</v>
      </c>
      <c r="E180" s="1">
        <v>3.99000000953674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1440.0</v>
      </c>
      <c r="O180" s="1">
        <v>3681.0</v>
      </c>
      <c r="P180" s="4">
        <f t="shared" si="1"/>
        <v>5</v>
      </c>
      <c r="Q180" s="4" t="str">
        <f t="shared" si="2"/>
        <v>Friday</v>
      </c>
      <c r="R180" s="4">
        <f t="shared" si="3"/>
        <v>7.980000019</v>
      </c>
      <c r="S180" s="2">
        <f t="shared" si="4"/>
        <v>0</v>
      </c>
      <c r="T180" s="4" t="str">
        <f t="shared" si="5"/>
        <v>Low</v>
      </c>
    </row>
    <row r="181">
      <c r="A181" s="1">
        <v>4.02033265E9</v>
      </c>
      <c r="B181" s="3">
        <v>42455.0</v>
      </c>
      <c r="C181" s="1">
        <v>4370.0</v>
      </c>
      <c r="D181" s="1">
        <v>3.13000011444092</v>
      </c>
      <c r="E181" s="1">
        <v>3.13000011444092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1440.0</v>
      </c>
      <c r="O181" s="1">
        <v>3444.0</v>
      </c>
      <c r="P181" s="4">
        <f t="shared" si="1"/>
        <v>6</v>
      </c>
      <c r="Q181" s="4" t="str">
        <f t="shared" si="2"/>
        <v>Saturday</v>
      </c>
      <c r="R181" s="4">
        <f t="shared" si="3"/>
        <v>6.260000229</v>
      </c>
      <c r="S181" s="2">
        <f t="shared" si="4"/>
        <v>0</v>
      </c>
      <c r="T181" s="4" t="str">
        <f t="shared" si="5"/>
        <v>Low</v>
      </c>
    </row>
    <row r="182">
      <c r="A182" s="1">
        <v>4.02033265E9</v>
      </c>
      <c r="B182" s="3">
        <v>42456.0</v>
      </c>
      <c r="C182" s="1">
        <v>7144.0</v>
      </c>
      <c r="D182" s="1">
        <v>5.11999988555908</v>
      </c>
      <c r="E182" s="1">
        <v>5.11999988555908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1440.0</v>
      </c>
      <c r="O182" s="1">
        <v>3510.0</v>
      </c>
      <c r="P182" s="4">
        <f t="shared" si="1"/>
        <v>7</v>
      </c>
      <c r="Q182" s="4" t="str">
        <f t="shared" si="2"/>
        <v>Sunday</v>
      </c>
      <c r="R182" s="4">
        <f t="shared" si="3"/>
        <v>10.23999977</v>
      </c>
      <c r="S182" s="2">
        <f t="shared" si="4"/>
        <v>0</v>
      </c>
      <c r="T182" s="4" t="str">
        <f t="shared" si="5"/>
        <v>Low</v>
      </c>
    </row>
    <row r="183">
      <c r="A183" s="1">
        <v>4.02033265E9</v>
      </c>
      <c r="B183" s="3">
        <v>42457.0</v>
      </c>
      <c r="C183" s="1">
        <v>2106.0</v>
      </c>
      <c r="D183" s="1">
        <v>1.50999999046326</v>
      </c>
      <c r="E183" s="1">
        <v>1.50999999046326</v>
      </c>
      <c r="F183" s="1">
        <v>0.0</v>
      </c>
      <c r="G183" s="1">
        <v>0.0199999995529652</v>
      </c>
      <c r="H183" s="1">
        <v>0.0500000007450581</v>
      </c>
      <c r="I183" s="1">
        <v>0.209999993443489</v>
      </c>
      <c r="J183" s="1">
        <v>0.0</v>
      </c>
      <c r="K183" s="1">
        <v>31.0</v>
      </c>
      <c r="L183" s="1">
        <v>45.0</v>
      </c>
      <c r="M183" s="1">
        <v>75.0</v>
      </c>
      <c r="N183" s="1">
        <v>1289.0</v>
      </c>
      <c r="O183" s="1">
        <v>4010.0</v>
      </c>
      <c r="P183" s="4">
        <f t="shared" si="1"/>
        <v>1</v>
      </c>
      <c r="Q183" s="4" t="str">
        <f t="shared" si="2"/>
        <v>Monday</v>
      </c>
      <c r="R183" s="4">
        <f t="shared" si="3"/>
        <v>3.019999981</v>
      </c>
      <c r="S183" s="2">
        <f t="shared" si="4"/>
        <v>0.05277777778</v>
      </c>
      <c r="T183" s="4" t="str">
        <f t="shared" si="5"/>
        <v>High</v>
      </c>
    </row>
    <row r="184">
      <c r="A184" s="1">
        <v>4.02033265E9</v>
      </c>
      <c r="B184" s="3">
        <v>42458.0</v>
      </c>
      <c r="C184" s="1">
        <v>4152.0</v>
      </c>
      <c r="D184" s="1">
        <v>2.98000001907349</v>
      </c>
      <c r="E184" s="1">
        <v>2.98000001907349</v>
      </c>
      <c r="F184" s="1">
        <v>0.0</v>
      </c>
      <c r="G184" s="1">
        <v>0.0</v>
      </c>
      <c r="H184" s="1">
        <v>0.0</v>
      </c>
      <c r="I184" s="1">
        <v>2.96000003814697</v>
      </c>
      <c r="J184" s="1">
        <v>0.0</v>
      </c>
      <c r="K184" s="1">
        <v>0.0</v>
      </c>
      <c r="L184" s="1">
        <v>0.0</v>
      </c>
      <c r="M184" s="1">
        <v>187.0</v>
      </c>
      <c r="N184" s="1">
        <v>1253.0</v>
      </c>
      <c r="O184" s="1">
        <v>2976.0</v>
      </c>
      <c r="P184" s="4">
        <f t="shared" si="1"/>
        <v>2</v>
      </c>
      <c r="Q184" s="4" t="str">
        <f t="shared" si="2"/>
        <v>Tuesday</v>
      </c>
      <c r="R184" s="4">
        <f t="shared" si="3"/>
        <v>5.960000038</v>
      </c>
      <c r="S184" s="2">
        <f t="shared" si="4"/>
        <v>0</v>
      </c>
      <c r="T184" s="4" t="str">
        <f t="shared" si="5"/>
        <v>Low</v>
      </c>
    </row>
    <row r="185">
      <c r="A185" s="1">
        <v>4.02033265E9</v>
      </c>
      <c r="B185" s="3">
        <v>42459.0</v>
      </c>
      <c r="C185" s="1">
        <v>5400.0</v>
      </c>
      <c r="D185" s="1">
        <v>3.86999988555908</v>
      </c>
      <c r="E185" s="1">
        <v>3.86999988555908</v>
      </c>
      <c r="F185" s="1">
        <v>0.0</v>
      </c>
      <c r="G185" s="1">
        <v>0.0</v>
      </c>
      <c r="H185" s="1">
        <v>0.0</v>
      </c>
      <c r="I185" s="1">
        <v>3.84999990463257</v>
      </c>
      <c r="J185" s="1">
        <v>0.0</v>
      </c>
      <c r="K185" s="1">
        <v>0.0</v>
      </c>
      <c r="L185" s="1">
        <v>0.0</v>
      </c>
      <c r="M185" s="1">
        <v>258.0</v>
      </c>
      <c r="N185" s="1">
        <v>795.0</v>
      </c>
      <c r="O185" s="1">
        <v>3418.0</v>
      </c>
      <c r="P185" s="4">
        <f t="shared" si="1"/>
        <v>3</v>
      </c>
      <c r="Q185" s="4" t="str">
        <f t="shared" si="2"/>
        <v>Wednesday</v>
      </c>
      <c r="R185" s="4">
        <f t="shared" si="3"/>
        <v>7.739999771</v>
      </c>
      <c r="S185" s="2">
        <f t="shared" si="4"/>
        <v>0</v>
      </c>
      <c r="T185" s="4" t="str">
        <f t="shared" si="5"/>
        <v>Low</v>
      </c>
    </row>
    <row r="186">
      <c r="A186" s="1">
        <v>4.02033265E9</v>
      </c>
      <c r="B186" s="3">
        <v>42460.0</v>
      </c>
      <c r="C186" s="1">
        <v>7428.0</v>
      </c>
      <c r="D186" s="1">
        <v>5.32999992370605</v>
      </c>
      <c r="E186" s="1">
        <v>5.32999992370605</v>
      </c>
      <c r="F186" s="1">
        <v>0.0</v>
      </c>
      <c r="G186" s="1">
        <v>0.870000004768372</v>
      </c>
      <c r="H186" s="1">
        <v>0.920000016689301</v>
      </c>
      <c r="I186" s="1">
        <v>3.50999999046326</v>
      </c>
      <c r="J186" s="1">
        <v>0.0</v>
      </c>
      <c r="K186" s="1">
        <v>18.0</v>
      </c>
      <c r="L186" s="1">
        <v>33.0</v>
      </c>
      <c r="M186" s="1">
        <v>261.0</v>
      </c>
      <c r="N186" s="1">
        <v>860.0</v>
      </c>
      <c r="O186" s="1">
        <v>3439.0</v>
      </c>
      <c r="P186" s="4">
        <f t="shared" si="1"/>
        <v>4</v>
      </c>
      <c r="Q186" s="4" t="str">
        <f t="shared" si="2"/>
        <v>Thursday</v>
      </c>
      <c r="R186" s="4">
        <f t="shared" si="3"/>
        <v>10.65999985</v>
      </c>
      <c r="S186" s="2">
        <f t="shared" si="4"/>
        <v>0.04351535836</v>
      </c>
      <c r="T186" s="4" t="str">
        <f t="shared" si="5"/>
        <v>Moderate</v>
      </c>
    </row>
    <row r="187">
      <c r="A187" s="1">
        <v>4.02033265E9</v>
      </c>
      <c r="B187" s="3">
        <v>42461.0</v>
      </c>
      <c r="C187" s="1">
        <v>5351.0</v>
      </c>
      <c r="D187" s="1">
        <v>3.83999991416931</v>
      </c>
      <c r="E187" s="1">
        <v>3.83999991416931</v>
      </c>
      <c r="F187" s="1">
        <v>0.0</v>
      </c>
      <c r="G187" s="1">
        <v>0.620000004768372</v>
      </c>
      <c r="H187" s="1">
        <v>0.180000007152557</v>
      </c>
      <c r="I187" s="1">
        <v>3.00999999046326</v>
      </c>
      <c r="J187" s="1">
        <v>0.0</v>
      </c>
      <c r="K187" s="1">
        <v>15.0</v>
      </c>
      <c r="L187" s="1">
        <v>17.0</v>
      </c>
      <c r="M187" s="1">
        <v>210.0</v>
      </c>
      <c r="N187" s="1">
        <v>748.0</v>
      </c>
      <c r="O187" s="1">
        <v>3338.0</v>
      </c>
      <c r="P187" s="4">
        <f t="shared" si="1"/>
        <v>5</v>
      </c>
      <c r="Q187" s="4" t="str">
        <f t="shared" si="2"/>
        <v>Friday</v>
      </c>
      <c r="R187" s="4">
        <f t="shared" si="3"/>
        <v>7.679999828</v>
      </c>
      <c r="S187" s="2">
        <f t="shared" si="4"/>
        <v>0.03232323232</v>
      </c>
      <c r="T187" s="4" t="str">
        <f t="shared" si="5"/>
        <v>Moderate</v>
      </c>
    </row>
    <row r="188">
      <c r="A188" s="1">
        <v>4.02033265E9</v>
      </c>
      <c r="B188" s="3">
        <v>42462.0</v>
      </c>
      <c r="C188" s="1">
        <v>4299.0</v>
      </c>
      <c r="D188" s="1">
        <v>3.09999990463257</v>
      </c>
      <c r="E188" s="1">
        <v>3.09999990463257</v>
      </c>
      <c r="F188" s="1">
        <v>0.0</v>
      </c>
      <c r="G188" s="1">
        <v>0.0900000035762787</v>
      </c>
      <c r="H188" s="1">
        <v>0.209999993443489</v>
      </c>
      <c r="I188" s="1">
        <v>2.74000000953674</v>
      </c>
      <c r="J188" s="1">
        <v>0.0399999991059303</v>
      </c>
      <c r="K188" s="1">
        <v>3.0</v>
      </c>
      <c r="L188" s="1">
        <v>15.0</v>
      </c>
      <c r="M188" s="1">
        <v>162.0</v>
      </c>
      <c r="N188" s="1">
        <v>752.0</v>
      </c>
      <c r="O188" s="1">
        <v>2892.0</v>
      </c>
      <c r="P188" s="4">
        <f t="shared" si="1"/>
        <v>6</v>
      </c>
      <c r="Q188" s="4" t="str">
        <f t="shared" si="2"/>
        <v>Saturday</v>
      </c>
      <c r="R188" s="4">
        <f t="shared" si="3"/>
        <v>6.199999809</v>
      </c>
      <c r="S188" s="2">
        <f t="shared" si="4"/>
        <v>0.01931330472</v>
      </c>
      <c r="T188" s="4" t="str">
        <f t="shared" si="5"/>
        <v>Low</v>
      </c>
    </row>
    <row r="189">
      <c r="A189" s="1">
        <v>4.02033265E9</v>
      </c>
      <c r="B189" s="3">
        <v>42463.0</v>
      </c>
      <c r="C189" s="1">
        <v>6107.0</v>
      </c>
      <c r="D189" s="1">
        <v>4.38000011444092</v>
      </c>
      <c r="E189" s="1">
        <v>4.38000011444092</v>
      </c>
      <c r="F189" s="1">
        <v>0.0</v>
      </c>
      <c r="G189" s="1">
        <v>0.0</v>
      </c>
      <c r="H189" s="1">
        <v>0.0</v>
      </c>
      <c r="I189" s="1">
        <v>4.3600001335144</v>
      </c>
      <c r="J189" s="1">
        <v>0.0</v>
      </c>
      <c r="K189" s="1">
        <v>0.0</v>
      </c>
      <c r="L189" s="1">
        <v>0.0</v>
      </c>
      <c r="M189" s="1">
        <v>265.0</v>
      </c>
      <c r="N189" s="1">
        <v>776.0</v>
      </c>
      <c r="O189" s="1">
        <v>3313.0</v>
      </c>
      <c r="P189" s="4">
        <f t="shared" si="1"/>
        <v>7</v>
      </c>
      <c r="Q189" s="4" t="str">
        <f t="shared" si="2"/>
        <v>Sunday</v>
      </c>
      <c r="R189" s="4">
        <f t="shared" si="3"/>
        <v>8.760000229</v>
      </c>
      <c r="S189" s="2">
        <f t="shared" si="4"/>
        <v>0</v>
      </c>
      <c r="T189" s="4" t="str">
        <f t="shared" si="5"/>
        <v>Low</v>
      </c>
    </row>
    <row r="190">
      <c r="A190" s="1">
        <v>4.02033265E9</v>
      </c>
      <c r="B190" s="3">
        <v>42464.0</v>
      </c>
      <c r="C190" s="1">
        <v>6429.0</v>
      </c>
      <c r="D190" s="1">
        <v>4.59999990463257</v>
      </c>
      <c r="E190" s="1">
        <v>4.59999990463257</v>
      </c>
      <c r="F190" s="1">
        <v>0.0</v>
      </c>
      <c r="G190" s="1">
        <v>0.0</v>
      </c>
      <c r="H190" s="1">
        <v>0.949999988079071</v>
      </c>
      <c r="I190" s="1">
        <v>3.65000009536743</v>
      </c>
      <c r="J190" s="1">
        <v>0.0</v>
      </c>
      <c r="K190" s="1">
        <v>0.0</v>
      </c>
      <c r="L190" s="1">
        <v>28.0</v>
      </c>
      <c r="M190" s="1">
        <v>193.0</v>
      </c>
      <c r="N190" s="1">
        <v>741.0</v>
      </c>
      <c r="O190" s="1">
        <v>3118.0</v>
      </c>
      <c r="P190" s="4">
        <f t="shared" si="1"/>
        <v>1</v>
      </c>
      <c r="Q190" s="4" t="str">
        <f t="shared" si="2"/>
        <v>Monday</v>
      </c>
      <c r="R190" s="4">
        <f t="shared" si="3"/>
        <v>9.199999809</v>
      </c>
      <c r="S190" s="2">
        <f t="shared" si="4"/>
        <v>0.02910602911</v>
      </c>
      <c r="T190" s="4" t="str">
        <f t="shared" si="5"/>
        <v>Low</v>
      </c>
    </row>
    <row r="191">
      <c r="A191" s="1">
        <v>4.02033265E9</v>
      </c>
      <c r="B191" s="3">
        <v>42465.0</v>
      </c>
      <c r="C191" s="1">
        <v>6880.0</v>
      </c>
      <c r="D191" s="1">
        <v>4.92999982833862</v>
      </c>
      <c r="E191" s="1">
        <v>4.92999982833862</v>
      </c>
      <c r="F191" s="1">
        <v>0.0</v>
      </c>
      <c r="G191" s="1">
        <v>0.5</v>
      </c>
      <c r="H191" s="1">
        <v>0.759999990463257</v>
      </c>
      <c r="I191" s="1">
        <v>3.65000009536743</v>
      </c>
      <c r="J191" s="1">
        <v>0.0</v>
      </c>
      <c r="K191" s="1">
        <v>7.0</v>
      </c>
      <c r="L191" s="1">
        <v>19.0</v>
      </c>
      <c r="M191" s="1">
        <v>165.0</v>
      </c>
      <c r="N191" s="1">
        <v>1249.0</v>
      </c>
      <c r="O191" s="1">
        <v>2966.0</v>
      </c>
      <c r="P191" s="4">
        <f t="shared" si="1"/>
        <v>2</v>
      </c>
      <c r="Q191" s="4" t="str">
        <f t="shared" si="2"/>
        <v>Tuesday</v>
      </c>
      <c r="R191" s="4">
        <f t="shared" si="3"/>
        <v>9.859999657</v>
      </c>
      <c r="S191" s="2">
        <f t="shared" si="4"/>
        <v>0.01805555556</v>
      </c>
      <c r="T191" s="4" t="str">
        <f t="shared" si="5"/>
        <v>Low</v>
      </c>
    </row>
    <row r="192">
      <c r="A192" s="1">
        <v>4.02033265E9</v>
      </c>
      <c r="B192" s="3">
        <v>42466.0</v>
      </c>
      <c r="C192" s="1">
        <v>7476.0</v>
      </c>
      <c r="D192" s="1">
        <v>5.3600001335144</v>
      </c>
      <c r="E192" s="1">
        <v>5.3600001335144</v>
      </c>
      <c r="F192" s="1">
        <v>0.0</v>
      </c>
      <c r="G192" s="1">
        <v>0.0</v>
      </c>
      <c r="H192" s="1">
        <v>0.0</v>
      </c>
      <c r="I192" s="1">
        <v>5.30999994277954</v>
      </c>
      <c r="J192" s="1">
        <v>0.0</v>
      </c>
      <c r="K192" s="1">
        <v>0.0</v>
      </c>
      <c r="L192" s="1">
        <v>0.0</v>
      </c>
      <c r="M192" s="1">
        <v>263.0</v>
      </c>
      <c r="N192" s="1">
        <v>920.0</v>
      </c>
      <c r="O192" s="1">
        <v>3253.0</v>
      </c>
      <c r="P192" s="4">
        <f t="shared" si="1"/>
        <v>3</v>
      </c>
      <c r="Q192" s="4" t="str">
        <f t="shared" si="2"/>
        <v>Wednesday</v>
      </c>
      <c r="R192" s="4">
        <f t="shared" si="3"/>
        <v>10.72000027</v>
      </c>
      <c r="S192" s="2">
        <f t="shared" si="4"/>
        <v>0</v>
      </c>
      <c r="T192" s="4" t="str">
        <f t="shared" si="5"/>
        <v>Low</v>
      </c>
    </row>
    <row r="193">
      <c r="A193" s="1">
        <v>4.02033265E9</v>
      </c>
      <c r="B193" s="3">
        <v>42467.0</v>
      </c>
      <c r="C193" s="1">
        <v>6581.0</v>
      </c>
      <c r="D193" s="1">
        <v>4.71999979019165</v>
      </c>
      <c r="E193" s="1">
        <v>4.71999979019165</v>
      </c>
      <c r="F193" s="1">
        <v>0.0</v>
      </c>
      <c r="G193" s="1">
        <v>0.0</v>
      </c>
      <c r="H193" s="1">
        <v>0.28999999165535</v>
      </c>
      <c r="I193" s="1">
        <v>4.3899998664856</v>
      </c>
      <c r="J193" s="1">
        <v>0.0</v>
      </c>
      <c r="K193" s="1">
        <v>0.0</v>
      </c>
      <c r="L193" s="1">
        <v>8.0</v>
      </c>
      <c r="M193" s="1">
        <v>241.0</v>
      </c>
      <c r="N193" s="1">
        <v>1191.0</v>
      </c>
      <c r="O193" s="1">
        <v>3032.0</v>
      </c>
      <c r="P193" s="4">
        <f t="shared" si="1"/>
        <v>4</v>
      </c>
      <c r="Q193" s="4" t="str">
        <f t="shared" si="2"/>
        <v>Thursday</v>
      </c>
      <c r="R193" s="4">
        <f t="shared" si="3"/>
        <v>9.43999958</v>
      </c>
      <c r="S193" s="2">
        <f t="shared" si="4"/>
        <v>0.005555555556</v>
      </c>
      <c r="T193" s="4" t="str">
        <f t="shared" si="5"/>
        <v>Low</v>
      </c>
    </row>
    <row r="194">
      <c r="A194" s="1">
        <v>4.02033265E9</v>
      </c>
      <c r="B194" s="3">
        <v>42468.0</v>
      </c>
      <c r="C194" s="1">
        <v>10480.0</v>
      </c>
      <c r="D194" s="1">
        <v>7.51000022888184</v>
      </c>
      <c r="E194" s="1">
        <v>7.51000022888184</v>
      </c>
      <c r="F194" s="1">
        <v>0.0</v>
      </c>
      <c r="G194" s="1">
        <v>0.409999996423721</v>
      </c>
      <c r="H194" s="1">
        <v>1.47000002861023</v>
      </c>
      <c r="I194" s="1">
        <v>5.01000022888184</v>
      </c>
      <c r="J194" s="1">
        <v>0.0399999991059303</v>
      </c>
      <c r="K194" s="1">
        <v>6.0</v>
      </c>
      <c r="L194" s="1">
        <v>37.0</v>
      </c>
      <c r="M194" s="1">
        <v>272.0</v>
      </c>
      <c r="N194" s="1">
        <v>1125.0</v>
      </c>
      <c r="O194" s="1">
        <v>4034.0</v>
      </c>
      <c r="P194" s="4">
        <f t="shared" si="1"/>
        <v>5</v>
      </c>
      <c r="Q194" s="4" t="str">
        <f t="shared" si="2"/>
        <v>Friday</v>
      </c>
      <c r="R194" s="4">
        <f t="shared" si="3"/>
        <v>15.02000046</v>
      </c>
      <c r="S194" s="2">
        <f t="shared" si="4"/>
        <v>0.02986111111</v>
      </c>
      <c r="T194" s="4" t="str">
        <f t="shared" si="5"/>
        <v>Low</v>
      </c>
    </row>
    <row r="195">
      <c r="A195" s="1">
        <v>4.02033265E9</v>
      </c>
      <c r="B195" s="3">
        <v>42469.0</v>
      </c>
      <c r="C195" s="1">
        <v>7734.0</v>
      </c>
      <c r="D195" s="1">
        <v>5.55000019073486</v>
      </c>
      <c r="E195" s="1">
        <v>5.55000019073486</v>
      </c>
      <c r="F195" s="1">
        <v>0.0</v>
      </c>
      <c r="G195" s="1">
        <v>1.1599999666214</v>
      </c>
      <c r="H195" s="1">
        <v>0.490000009536743</v>
      </c>
      <c r="I195" s="1">
        <v>3.8199999332428</v>
      </c>
      <c r="J195" s="1">
        <v>0.0599999986588955</v>
      </c>
      <c r="K195" s="1">
        <v>20.0</v>
      </c>
      <c r="L195" s="1">
        <v>12.0</v>
      </c>
      <c r="M195" s="1">
        <v>223.0</v>
      </c>
      <c r="N195" s="1">
        <v>1185.0</v>
      </c>
      <c r="O195" s="1">
        <v>3264.0</v>
      </c>
      <c r="P195" s="4">
        <f t="shared" si="1"/>
        <v>6</v>
      </c>
      <c r="Q195" s="4" t="str">
        <f t="shared" si="2"/>
        <v>Saturday</v>
      </c>
      <c r="R195" s="4">
        <f t="shared" si="3"/>
        <v>11.10000038</v>
      </c>
      <c r="S195" s="2">
        <f t="shared" si="4"/>
        <v>0.02222222222</v>
      </c>
      <c r="T195" s="4" t="str">
        <f t="shared" si="5"/>
        <v>Moderate</v>
      </c>
    </row>
    <row r="196">
      <c r="A196" s="1">
        <v>4.02033265E9</v>
      </c>
      <c r="B196" s="3">
        <v>42470.0</v>
      </c>
      <c r="C196" s="1">
        <v>5129.0</v>
      </c>
      <c r="D196" s="1">
        <v>3.6800000667572</v>
      </c>
      <c r="E196" s="1">
        <v>3.6800000667572</v>
      </c>
      <c r="F196" s="1">
        <v>0.0</v>
      </c>
      <c r="G196" s="1">
        <v>0.180000007152557</v>
      </c>
      <c r="H196" s="1">
        <v>0.239999994635582</v>
      </c>
      <c r="I196" s="1">
        <v>3.21000003814697</v>
      </c>
      <c r="J196" s="1">
        <v>0.00999999977648258</v>
      </c>
      <c r="K196" s="1">
        <v>5.0</v>
      </c>
      <c r="L196" s="1">
        <v>7.0</v>
      </c>
      <c r="M196" s="1">
        <v>176.0</v>
      </c>
      <c r="N196" s="1">
        <v>1178.0</v>
      </c>
      <c r="O196" s="1">
        <v>2817.0</v>
      </c>
      <c r="P196" s="4">
        <f t="shared" si="1"/>
        <v>7</v>
      </c>
      <c r="Q196" s="4" t="str">
        <f t="shared" si="2"/>
        <v>Sunday</v>
      </c>
      <c r="R196" s="4">
        <f t="shared" si="3"/>
        <v>7.360000134</v>
      </c>
      <c r="S196" s="2">
        <f t="shared" si="4"/>
        <v>0.00878477306</v>
      </c>
      <c r="T196" s="4" t="str">
        <f t="shared" si="5"/>
        <v>Low</v>
      </c>
    </row>
    <row r="197">
      <c r="A197" s="1">
        <v>4.02033265E9</v>
      </c>
      <c r="B197" s="3">
        <v>42471.0</v>
      </c>
      <c r="C197" s="1">
        <v>2993.0</v>
      </c>
      <c r="D197" s="1">
        <v>2.15000009536743</v>
      </c>
      <c r="E197" s="1">
        <v>2.15000009536743</v>
      </c>
      <c r="F197" s="1">
        <v>0.0</v>
      </c>
      <c r="G197" s="1">
        <v>0.0</v>
      </c>
      <c r="H197" s="1">
        <v>0.0</v>
      </c>
      <c r="I197" s="1">
        <v>2.08999991416931</v>
      </c>
      <c r="J197" s="1">
        <v>0.0</v>
      </c>
      <c r="K197" s="1">
        <v>0.0</v>
      </c>
      <c r="L197" s="1">
        <v>0.0</v>
      </c>
      <c r="M197" s="1">
        <v>114.0</v>
      </c>
      <c r="N197" s="1">
        <v>888.0</v>
      </c>
      <c r="O197" s="1">
        <v>2507.0</v>
      </c>
      <c r="P197" s="4">
        <f t="shared" si="1"/>
        <v>1</v>
      </c>
      <c r="Q197" s="4" t="str">
        <f t="shared" si="2"/>
        <v>Monday</v>
      </c>
      <c r="R197" s="4">
        <f t="shared" si="3"/>
        <v>4.300000191</v>
      </c>
      <c r="S197" s="2">
        <f t="shared" si="4"/>
        <v>0</v>
      </c>
      <c r="T197" s="4" t="str">
        <f t="shared" si="5"/>
        <v>Low</v>
      </c>
    </row>
    <row r="198">
      <c r="A198" s="1">
        <v>4.02033265E9</v>
      </c>
      <c r="B198" s="3">
        <v>42472.0</v>
      </c>
      <c r="C198" s="1">
        <v>8.0</v>
      </c>
      <c r="D198" s="1">
        <v>0.00999999977648258</v>
      </c>
      <c r="E198" s="1">
        <v>0.00999999977648258</v>
      </c>
      <c r="F198" s="1">
        <v>0.0</v>
      </c>
      <c r="G198" s="1">
        <v>0.0</v>
      </c>
      <c r="H198" s="1">
        <v>0.0</v>
      </c>
      <c r="I198" s="1">
        <v>0.00999999977648258</v>
      </c>
      <c r="J198" s="1">
        <v>0.0</v>
      </c>
      <c r="K198" s="1">
        <v>0.0</v>
      </c>
      <c r="L198" s="1">
        <v>0.0</v>
      </c>
      <c r="M198" s="1">
        <v>1.0</v>
      </c>
      <c r="N198" s="1">
        <v>321.0</v>
      </c>
      <c r="O198" s="1">
        <v>446.0</v>
      </c>
      <c r="P198" s="4">
        <f t="shared" si="1"/>
        <v>2</v>
      </c>
      <c r="Q198" s="4" t="str">
        <f t="shared" si="2"/>
        <v>Tuesday</v>
      </c>
      <c r="R198" s="4">
        <f t="shared" si="3"/>
        <v>0.01999999955</v>
      </c>
      <c r="S198" s="2">
        <f t="shared" si="4"/>
        <v>0</v>
      </c>
      <c r="T198" s="4" t="str">
        <f t="shared" si="5"/>
        <v>Low</v>
      </c>
    </row>
    <row r="199">
      <c r="A199" s="1">
        <v>4.057192912E9</v>
      </c>
      <c r="B199" s="3">
        <v>42441.0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1440.0</v>
      </c>
      <c r="O199" s="1">
        <v>1777.0</v>
      </c>
      <c r="P199" s="4">
        <f t="shared" si="1"/>
        <v>6</v>
      </c>
      <c r="Q199" s="4" t="str">
        <f t="shared" si="2"/>
        <v>Saturday</v>
      </c>
      <c r="R199" s="4">
        <f t="shared" si="3"/>
        <v>0</v>
      </c>
      <c r="S199" s="2">
        <f t="shared" si="4"/>
        <v>0</v>
      </c>
      <c r="T199" s="4" t="str">
        <f t="shared" si="5"/>
        <v>Low</v>
      </c>
    </row>
    <row r="200">
      <c r="A200" s="1">
        <v>4.057192912E9</v>
      </c>
      <c r="B200" s="3">
        <v>42442.0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1440.0</v>
      </c>
      <c r="O200" s="1">
        <v>1777.0</v>
      </c>
      <c r="P200" s="4">
        <f t="shared" si="1"/>
        <v>7</v>
      </c>
      <c r="Q200" s="4" t="str">
        <f t="shared" si="2"/>
        <v>Sunday</v>
      </c>
      <c r="R200" s="4">
        <f t="shared" si="3"/>
        <v>0</v>
      </c>
      <c r="S200" s="2">
        <f t="shared" si="4"/>
        <v>0</v>
      </c>
      <c r="T200" s="4" t="str">
        <f t="shared" si="5"/>
        <v>Low</v>
      </c>
    </row>
    <row r="201">
      <c r="A201" s="1">
        <v>4.057192912E9</v>
      </c>
      <c r="B201" s="3">
        <v>42443.0</v>
      </c>
      <c r="C201" s="1">
        <v>8433.0</v>
      </c>
      <c r="D201" s="1">
        <v>6.23000001907349</v>
      </c>
      <c r="E201" s="1">
        <v>6.23000001907349</v>
      </c>
      <c r="F201" s="1">
        <v>0.0</v>
      </c>
      <c r="G201" s="1">
        <v>2.45000004768372</v>
      </c>
      <c r="H201" s="1">
        <v>0.330000013113022</v>
      </c>
      <c r="I201" s="1">
        <v>3.44000005722046</v>
      </c>
      <c r="J201" s="1">
        <v>0.0</v>
      </c>
      <c r="K201" s="1">
        <v>30.0</v>
      </c>
      <c r="L201" s="1">
        <v>7.0</v>
      </c>
      <c r="M201" s="1">
        <v>135.0</v>
      </c>
      <c r="N201" s="1">
        <v>1268.0</v>
      </c>
      <c r="O201" s="1">
        <v>2453.0</v>
      </c>
      <c r="P201" s="4">
        <f t="shared" si="1"/>
        <v>1</v>
      </c>
      <c r="Q201" s="4" t="str">
        <f t="shared" si="2"/>
        <v>Monday</v>
      </c>
      <c r="R201" s="4">
        <f t="shared" si="3"/>
        <v>12.46000004</v>
      </c>
      <c r="S201" s="2">
        <f t="shared" si="4"/>
        <v>0.02569444444</v>
      </c>
      <c r="T201" s="4" t="str">
        <f t="shared" si="5"/>
        <v>High</v>
      </c>
    </row>
    <row r="202">
      <c r="A202" s="1">
        <v>4.057192912E9</v>
      </c>
      <c r="B202" s="3">
        <v>42444.0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1440.0</v>
      </c>
      <c r="O202" s="1">
        <v>1776.0</v>
      </c>
      <c r="P202" s="4">
        <f t="shared" si="1"/>
        <v>2</v>
      </c>
      <c r="Q202" s="4" t="str">
        <f t="shared" si="2"/>
        <v>Tuesday</v>
      </c>
      <c r="R202" s="4">
        <f t="shared" si="3"/>
        <v>0</v>
      </c>
      <c r="S202" s="2">
        <f t="shared" si="4"/>
        <v>0</v>
      </c>
      <c r="T202" s="4" t="str">
        <f t="shared" si="5"/>
        <v>Low</v>
      </c>
    </row>
    <row r="203">
      <c r="A203" s="1">
        <v>4.057192912E9</v>
      </c>
      <c r="B203" s="3">
        <v>42445.0</v>
      </c>
      <c r="C203" s="1">
        <v>2139.0</v>
      </c>
      <c r="D203" s="1">
        <v>1.55999994277954</v>
      </c>
      <c r="E203" s="1">
        <v>1.55999994277954</v>
      </c>
      <c r="F203" s="1">
        <v>0.0</v>
      </c>
      <c r="G203" s="1">
        <v>0.0</v>
      </c>
      <c r="H203" s="1">
        <v>1.29999995231628</v>
      </c>
      <c r="I203" s="1">
        <v>0.259999990463257</v>
      </c>
      <c r="J203" s="1">
        <v>0.0</v>
      </c>
      <c r="K203" s="1">
        <v>0.0</v>
      </c>
      <c r="L203" s="1">
        <v>28.0</v>
      </c>
      <c r="M203" s="1">
        <v>15.0</v>
      </c>
      <c r="N203" s="1">
        <v>1397.0</v>
      </c>
      <c r="O203" s="1">
        <v>1935.0</v>
      </c>
      <c r="P203" s="4">
        <f t="shared" si="1"/>
        <v>3</v>
      </c>
      <c r="Q203" s="4" t="str">
        <f t="shared" si="2"/>
        <v>Wednesday</v>
      </c>
      <c r="R203" s="4">
        <f t="shared" si="3"/>
        <v>3.119999886</v>
      </c>
      <c r="S203" s="2">
        <f t="shared" si="4"/>
        <v>0.01944444444</v>
      </c>
      <c r="T203" s="4" t="str">
        <f t="shared" si="5"/>
        <v>Low</v>
      </c>
    </row>
    <row r="204">
      <c r="A204" s="1">
        <v>4.057192912E9</v>
      </c>
      <c r="B204" s="3">
        <v>42446.0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1440.0</v>
      </c>
      <c r="O204" s="1">
        <v>1776.0</v>
      </c>
      <c r="P204" s="4">
        <f t="shared" si="1"/>
        <v>4</v>
      </c>
      <c r="Q204" s="4" t="str">
        <f t="shared" si="2"/>
        <v>Thursday</v>
      </c>
      <c r="R204" s="4">
        <f t="shared" si="3"/>
        <v>0</v>
      </c>
      <c r="S204" s="2">
        <f t="shared" si="4"/>
        <v>0</v>
      </c>
      <c r="T204" s="4" t="str">
        <f t="shared" si="5"/>
        <v>Low</v>
      </c>
    </row>
    <row r="205">
      <c r="A205" s="1">
        <v>4.057192912E9</v>
      </c>
      <c r="B205" s="3">
        <v>42447.0</v>
      </c>
      <c r="C205" s="1">
        <v>949.0</v>
      </c>
      <c r="D205" s="1">
        <v>0.689999997615814</v>
      </c>
      <c r="E205" s="1">
        <v>0.689999997615814</v>
      </c>
      <c r="F205" s="1">
        <v>0.0</v>
      </c>
      <c r="G205" s="1">
        <v>0.0</v>
      </c>
      <c r="H205" s="1">
        <v>0.0</v>
      </c>
      <c r="I205" s="1">
        <v>0.689999997615814</v>
      </c>
      <c r="J205" s="1">
        <v>0.0</v>
      </c>
      <c r="K205" s="1">
        <v>0.0</v>
      </c>
      <c r="L205" s="1">
        <v>0.0</v>
      </c>
      <c r="M205" s="1">
        <v>34.0</v>
      </c>
      <c r="N205" s="1">
        <v>1406.0</v>
      </c>
      <c r="O205" s="1">
        <v>1870.0</v>
      </c>
      <c r="P205" s="4">
        <f t="shared" si="1"/>
        <v>5</v>
      </c>
      <c r="Q205" s="4" t="str">
        <f t="shared" si="2"/>
        <v>Friday</v>
      </c>
      <c r="R205" s="4">
        <f t="shared" si="3"/>
        <v>1.379999995</v>
      </c>
      <c r="S205" s="2">
        <f t="shared" si="4"/>
        <v>0</v>
      </c>
      <c r="T205" s="4" t="str">
        <f t="shared" si="5"/>
        <v>Low</v>
      </c>
    </row>
    <row r="206">
      <c r="A206" s="1">
        <v>4.057192912E9</v>
      </c>
      <c r="B206" s="3">
        <v>42448.0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1440.0</v>
      </c>
      <c r="O206" s="1">
        <v>1777.0</v>
      </c>
      <c r="P206" s="4">
        <f t="shared" si="1"/>
        <v>6</v>
      </c>
      <c r="Q206" s="4" t="str">
        <f t="shared" si="2"/>
        <v>Saturday</v>
      </c>
      <c r="R206" s="4">
        <f t="shared" si="3"/>
        <v>0</v>
      </c>
      <c r="S206" s="2">
        <f t="shared" si="4"/>
        <v>0</v>
      </c>
      <c r="T206" s="4" t="str">
        <f t="shared" si="5"/>
        <v>Low</v>
      </c>
    </row>
    <row r="207">
      <c r="A207" s="1">
        <v>4.057192912E9</v>
      </c>
      <c r="B207" s="3">
        <v>42449.0</v>
      </c>
      <c r="C207" s="1">
        <v>44.0</v>
      </c>
      <c r="D207" s="1">
        <v>0.0299999993294477</v>
      </c>
      <c r="E207" s="1">
        <v>0.0299999993294477</v>
      </c>
      <c r="F207" s="1">
        <v>0.0</v>
      </c>
      <c r="G207" s="1">
        <v>0.0</v>
      </c>
      <c r="H207" s="1">
        <v>0.0</v>
      </c>
      <c r="I207" s="1">
        <v>0.0299999993294477</v>
      </c>
      <c r="J207" s="1">
        <v>0.0</v>
      </c>
      <c r="K207" s="1">
        <v>0.0</v>
      </c>
      <c r="L207" s="1">
        <v>0.0</v>
      </c>
      <c r="M207" s="1">
        <v>2.0</v>
      </c>
      <c r="N207" s="1">
        <v>1438.0</v>
      </c>
      <c r="O207" s="1">
        <v>1782.0</v>
      </c>
      <c r="P207" s="4">
        <f t="shared" si="1"/>
        <v>7</v>
      </c>
      <c r="Q207" s="4" t="str">
        <f t="shared" si="2"/>
        <v>Sunday</v>
      </c>
      <c r="R207" s="4">
        <f t="shared" si="3"/>
        <v>0.05999999866</v>
      </c>
      <c r="S207" s="2">
        <f t="shared" si="4"/>
        <v>0</v>
      </c>
      <c r="T207" s="4" t="str">
        <f t="shared" si="5"/>
        <v>Low</v>
      </c>
    </row>
    <row r="208">
      <c r="A208" s="1">
        <v>4.057192912E9</v>
      </c>
      <c r="B208" s="3">
        <v>42450.0</v>
      </c>
      <c r="C208" s="1">
        <v>2660.0</v>
      </c>
      <c r="D208" s="1">
        <v>1.94000005722046</v>
      </c>
      <c r="E208" s="1">
        <v>1.94000005722046</v>
      </c>
      <c r="F208" s="1">
        <v>0.0</v>
      </c>
      <c r="G208" s="1">
        <v>0.0</v>
      </c>
      <c r="H208" s="1">
        <v>0.0</v>
      </c>
      <c r="I208" s="1">
        <v>1.94000005722046</v>
      </c>
      <c r="J208" s="1">
        <v>0.0</v>
      </c>
      <c r="K208" s="1">
        <v>0.0</v>
      </c>
      <c r="L208" s="1">
        <v>0.0</v>
      </c>
      <c r="M208" s="1">
        <v>46.0</v>
      </c>
      <c r="N208" s="1">
        <v>1394.0</v>
      </c>
      <c r="O208" s="1">
        <v>1978.0</v>
      </c>
      <c r="P208" s="4">
        <f t="shared" si="1"/>
        <v>1</v>
      </c>
      <c r="Q208" s="4" t="str">
        <f t="shared" si="2"/>
        <v>Monday</v>
      </c>
      <c r="R208" s="4">
        <f t="shared" si="3"/>
        <v>3.880000114</v>
      </c>
      <c r="S208" s="2">
        <f t="shared" si="4"/>
        <v>0</v>
      </c>
      <c r="T208" s="4" t="str">
        <f t="shared" si="5"/>
        <v>Low</v>
      </c>
    </row>
    <row r="209">
      <c r="A209" s="1">
        <v>4.057192912E9</v>
      </c>
      <c r="B209" s="3">
        <v>42451.0</v>
      </c>
      <c r="C209" s="1">
        <v>5561.0</v>
      </c>
      <c r="D209" s="1">
        <v>4.19000005722046</v>
      </c>
      <c r="E209" s="1">
        <v>4.19000005722046</v>
      </c>
      <c r="F209" s="1">
        <v>0.0</v>
      </c>
      <c r="G209" s="1">
        <v>0.0</v>
      </c>
      <c r="H209" s="1">
        <v>0.0</v>
      </c>
      <c r="I209" s="1">
        <v>4.07000017166138</v>
      </c>
      <c r="J209" s="1">
        <v>0.0</v>
      </c>
      <c r="K209" s="1">
        <v>0.0</v>
      </c>
      <c r="L209" s="1">
        <v>0.0</v>
      </c>
      <c r="M209" s="1">
        <v>169.0</v>
      </c>
      <c r="N209" s="1">
        <v>1271.0</v>
      </c>
      <c r="O209" s="1">
        <v>2296.0</v>
      </c>
      <c r="P209" s="4">
        <f t="shared" si="1"/>
        <v>2</v>
      </c>
      <c r="Q209" s="4" t="str">
        <f t="shared" si="2"/>
        <v>Tuesday</v>
      </c>
      <c r="R209" s="4">
        <f t="shared" si="3"/>
        <v>8.380000114</v>
      </c>
      <c r="S209" s="2">
        <f t="shared" si="4"/>
        <v>0</v>
      </c>
      <c r="T209" s="4" t="str">
        <f t="shared" si="5"/>
        <v>Low</v>
      </c>
    </row>
    <row r="210">
      <c r="A210" s="1">
        <v>4.057192912E9</v>
      </c>
      <c r="B210" s="3">
        <v>42452.0</v>
      </c>
      <c r="C210" s="1">
        <v>7239.0</v>
      </c>
      <c r="D210" s="1">
        <v>5.34000015258789</v>
      </c>
      <c r="E210" s="1">
        <v>5.34000015258789</v>
      </c>
      <c r="F210" s="1">
        <v>0.0</v>
      </c>
      <c r="G210" s="1">
        <v>0.550000011920929</v>
      </c>
      <c r="H210" s="1">
        <v>0.360000014305115</v>
      </c>
      <c r="I210" s="1">
        <v>4.38000011444092</v>
      </c>
      <c r="J210" s="1">
        <v>0.0</v>
      </c>
      <c r="K210" s="1">
        <v>7.0</v>
      </c>
      <c r="L210" s="1">
        <v>7.0</v>
      </c>
      <c r="M210" s="1">
        <v>190.0</v>
      </c>
      <c r="N210" s="1">
        <v>1236.0</v>
      </c>
      <c r="O210" s="1">
        <v>2484.0</v>
      </c>
      <c r="P210" s="4">
        <f t="shared" si="1"/>
        <v>3</v>
      </c>
      <c r="Q210" s="4" t="str">
        <f t="shared" si="2"/>
        <v>Wednesday</v>
      </c>
      <c r="R210" s="4">
        <f t="shared" si="3"/>
        <v>10.68000031</v>
      </c>
      <c r="S210" s="2">
        <f t="shared" si="4"/>
        <v>0.009722222222</v>
      </c>
      <c r="T210" s="4" t="str">
        <f t="shared" si="5"/>
        <v>Low</v>
      </c>
    </row>
    <row r="211">
      <c r="A211" s="1">
        <v>4.057192912E9</v>
      </c>
      <c r="B211" s="3">
        <v>42453.0</v>
      </c>
      <c r="C211" s="1">
        <v>7.0</v>
      </c>
      <c r="D211" s="1">
        <v>0.00999999977648258</v>
      </c>
      <c r="E211" s="1">
        <v>0.00999999977648258</v>
      </c>
      <c r="F211" s="1">
        <v>0.0</v>
      </c>
      <c r="G211" s="1">
        <v>0.0</v>
      </c>
      <c r="H211" s="1">
        <v>0.0</v>
      </c>
      <c r="I211" s="1">
        <v>0.00999999977648258</v>
      </c>
      <c r="J211" s="1">
        <v>0.0</v>
      </c>
      <c r="K211" s="1">
        <v>0.0</v>
      </c>
      <c r="L211" s="1">
        <v>0.0</v>
      </c>
      <c r="M211" s="1">
        <v>1.0</v>
      </c>
      <c r="N211" s="1">
        <v>1439.0</v>
      </c>
      <c r="O211" s="1">
        <v>1787.0</v>
      </c>
      <c r="P211" s="4">
        <f t="shared" si="1"/>
        <v>4</v>
      </c>
      <c r="Q211" s="4" t="str">
        <f t="shared" si="2"/>
        <v>Thursday</v>
      </c>
      <c r="R211" s="4">
        <f t="shared" si="3"/>
        <v>0.01999999955</v>
      </c>
      <c r="S211" s="2">
        <f t="shared" si="4"/>
        <v>0</v>
      </c>
      <c r="T211" s="4" t="str">
        <f t="shared" si="5"/>
        <v>Low</v>
      </c>
    </row>
    <row r="212">
      <c r="A212" s="1">
        <v>4.057192912E9</v>
      </c>
      <c r="B212" s="3">
        <v>42454.0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1440.0</v>
      </c>
      <c r="O212" s="1">
        <v>1776.0</v>
      </c>
      <c r="P212" s="4">
        <f t="shared" si="1"/>
        <v>5</v>
      </c>
      <c r="Q212" s="4" t="str">
        <f t="shared" si="2"/>
        <v>Friday</v>
      </c>
      <c r="R212" s="4">
        <f t="shared" si="3"/>
        <v>0</v>
      </c>
      <c r="S212" s="2">
        <f t="shared" si="4"/>
        <v>0</v>
      </c>
      <c r="T212" s="4" t="str">
        <f t="shared" si="5"/>
        <v>Low</v>
      </c>
    </row>
    <row r="213">
      <c r="A213" s="1">
        <v>4.057192912E9</v>
      </c>
      <c r="B213" s="3">
        <v>42455.0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1440.0</v>
      </c>
      <c r="O213" s="1">
        <v>1776.0</v>
      </c>
      <c r="P213" s="4">
        <f t="shared" si="1"/>
        <v>6</v>
      </c>
      <c r="Q213" s="4" t="str">
        <f t="shared" si="2"/>
        <v>Saturday</v>
      </c>
      <c r="R213" s="4">
        <f t="shared" si="3"/>
        <v>0</v>
      </c>
      <c r="S213" s="2">
        <f t="shared" si="4"/>
        <v>0</v>
      </c>
      <c r="T213" s="4" t="str">
        <f t="shared" si="5"/>
        <v>Low</v>
      </c>
    </row>
    <row r="214">
      <c r="A214" s="1">
        <v>4.057192912E9</v>
      </c>
      <c r="B214" s="3">
        <v>42456.0</v>
      </c>
      <c r="C214" s="1">
        <v>2275.0</v>
      </c>
      <c r="D214" s="1">
        <v>1.67999994754791</v>
      </c>
      <c r="E214" s="1">
        <v>1.67999994754791</v>
      </c>
      <c r="F214" s="1">
        <v>0.0</v>
      </c>
      <c r="G214" s="1">
        <v>0.0</v>
      </c>
      <c r="H214" s="1">
        <v>0.0</v>
      </c>
      <c r="I214" s="1">
        <v>1.6599999666214</v>
      </c>
      <c r="J214" s="1">
        <v>0.0</v>
      </c>
      <c r="K214" s="1">
        <v>0.0</v>
      </c>
      <c r="L214" s="1">
        <v>0.0</v>
      </c>
      <c r="M214" s="1">
        <v>86.0</v>
      </c>
      <c r="N214" s="1">
        <v>1354.0</v>
      </c>
      <c r="O214" s="1">
        <v>2005.0</v>
      </c>
      <c r="P214" s="4">
        <f t="shared" si="1"/>
        <v>7</v>
      </c>
      <c r="Q214" s="4" t="str">
        <f t="shared" si="2"/>
        <v>Sunday</v>
      </c>
      <c r="R214" s="4">
        <f t="shared" si="3"/>
        <v>3.359999895</v>
      </c>
      <c r="S214" s="2">
        <f t="shared" si="4"/>
        <v>0</v>
      </c>
      <c r="T214" s="4" t="str">
        <f t="shared" si="5"/>
        <v>Low</v>
      </c>
    </row>
    <row r="215">
      <c r="A215" s="1">
        <v>4.057192912E9</v>
      </c>
      <c r="B215" s="3">
        <v>42457.0</v>
      </c>
      <c r="C215" s="1">
        <v>8.0</v>
      </c>
      <c r="D215" s="1">
        <v>0.00999999977648258</v>
      </c>
      <c r="E215" s="1">
        <v>0.00999999977648258</v>
      </c>
      <c r="F215" s="1">
        <v>0.0</v>
      </c>
      <c r="G215" s="1">
        <v>0.0</v>
      </c>
      <c r="H215" s="1">
        <v>0.0</v>
      </c>
      <c r="I215" s="1">
        <v>0.00999999977648258</v>
      </c>
      <c r="J215" s="1">
        <v>0.0</v>
      </c>
      <c r="K215" s="1">
        <v>0.0</v>
      </c>
      <c r="L215" s="1">
        <v>0.0</v>
      </c>
      <c r="M215" s="1">
        <v>1.0</v>
      </c>
      <c r="N215" s="1">
        <v>1439.0</v>
      </c>
      <c r="O215" s="1">
        <v>1778.0</v>
      </c>
      <c r="P215" s="4">
        <f t="shared" si="1"/>
        <v>1</v>
      </c>
      <c r="Q215" s="4" t="str">
        <f t="shared" si="2"/>
        <v>Monday</v>
      </c>
      <c r="R215" s="4">
        <f t="shared" si="3"/>
        <v>0.01999999955</v>
      </c>
      <c r="S215" s="2">
        <f t="shared" si="4"/>
        <v>0</v>
      </c>
      <c r="T215" s="4" t="str">
        <f t="shared" si="5"/>
        <v>Low</v>
      </c>
    </row>
    <row r="216">
      <c r="A216" s="1">
        <v>4.057192912E9</v>
      </c>
      <c r="B216" s="3">
        <v>42458.0</v>
      </c>
      <c r="C216" s="1">
        <v>5137.0</v>
      </c>
      <c r="D216" s="1">
        <v>3.75999999046326</v>
      </c>
      <c r="E216" s="1">
        <v>3.75999999046326</v>
      </c>
      <c r="F216" s="1">
        <v>0.0</v>
      </c>
      <c r="G216" s="1">
        <v>0.0</v>
      </c>
      <c r="H216" s="1">
        <v>0.0</v>
      </c>
      <c r="I216" s="1">
        <v>3.75999999046326</v>
      </c>
      <c r="J216" s="1">
        <v>0.0</v>
      </c>
      <c r="K216" s="1">
        <v>0.0</v>
      </c>
      <c r="L216" s="1">
        <v>0.0</v>
      </c>
      <c r="M216" s="1">
        <v>160.0</v>
      </c>
      <c r="N216" s="1">
        <v>1280.0</v>
      </c>
      <c r="O216" s="1">
        <v>2293.0</v>
      </c>
      <c r="P216" s="4">
        <f t="shared" si="1"/>
        <v>2</v>
      </c>
      <c r="Q216" s="4" t="str">
        <f t="shared" si="2"/>
        <v>Tuesday</v>
      </c>
      <c r="R216" s="4">
        <f t="shared" si="3"/>
        <v>7.519999981</v>
      </c>
      <c r="S216" s="2">
        <f t="shared" si="4"/>
        <v>0</v>
      </c>
      <c r="T216" s="4" t="str">
        <f t="shared" si="5"/>
        <v>Low</v>
      </c>
    </row>
    <row r="217">
      <c r="A217" s="1">
        <v>4.057192912E9</v>
      </c>
      <c r="B217" s="3">
        <v>42459.0</v>
      </c>
      <c r="C217" s="1">
        <v>5419.0</v>
      </c>
      <c r="D217" s="1">
        <v>4.0</v>
      </c>
      <c r="E217" s="1">
        <v>4.57000017166138</v>
      </c>
      <c r="F217" s="1">
        <v>0.055842999368906</v>
      </c>
      <c r="G217" s="1">
        <v>0.0</v>
      </c>
      <c r="H217" s="1">
        <v>0.0</v>
      </c>
      <c r="I217" s="1">
        <v>3.91000008583069</v>
      </c>
      <c r="J217" s="1">
        <v>0.0599999986588955</v>
      </c>
      <c r="K217" s="1">
        <v>0.0</v>
      </c>
      <c r="L217" s="1">
        <v>0.0</v>
      </c>
      <c r="M217" s="1">
        <v>145.0</v>
      </c>
      <c r="N217" s="1">
        <v>1295.0</v>
      </c>
      <c r="O217" s="1">
        <v>2259.0</v>
      </c>
      <c r="P217" s="4">
        <f t="shared" si="1"/>
        <v>3</v>
      </c>
      <c r="Q217" s="4" t="str">
        <f t="shared" si="2"/>
        <v>Wednesday</v>
      </c>
      <c r="R217" s="4">
        <f t="shared" si="3"/>
        <v>8.625843171</v>
      </c>
      <c r="S217" s="2">
        <f t="shared" si="4"/>
        <v>0</v>
      </c>
      <c r="T217" s="4" t="str">
        <f t="shared" si="5"/>
        <v>Low</v>
      </c>
    </row>
    <row r="218">
      <c r="A218" s="1">
        <v>4.057192912E9</v>
      </c>
      <c r="B218" s="3">
        <v>42460.0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1440.0</v>
      </c>
      <c r="O218" s="1">
        <v>1776.0</v>
      </c>
      <c r="P218" s="4">
        <f t="shared" si="1"/>
        <v>4</v>
      </c>
      <c r="Q218" s="4" t="str">
        <f t="shared" si="2"/>
        <v>Thursday</v>
      </c>
      <c r="R218" s="4">
        <f t="shared" si="3"/>
        <v>0</v>
      </c>
      <c r="S218" s="2">
        <f t="shared" si="4"/>
        <v>0</v>
      </c>
      <c r="T218" s="4" t="str">
        <f t="shared" si="5"/>
        <v>Low</v>
      </c>
    </row>
    <row r="219">
      <c r="A219" s="1">
        <v>4.057192912E9</v>
      </c>
      <c r="B219" s="3">
        <v>42461.0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1440.0</v>
      </c>
      <c r="O219" s="1">
        <v>1776.0</v>
      </c>
      <c r="P219" s="4">
        <f t="shared" si="1"/>
        <v>5</v>
      </c>
      <c r="Q219" s="4" t="str">
        <f t="shared" si="2"/>
        <v>Friday</v>
      </c>
      <c r="R219" s="4">
        <f t="shared" si="3"/>
        <v>0</v>
      </c>
      <c r="S219" s="2">
        <f t="shared" si="4"/>
        <v>0</v>
      </c>
      <c r="T219" s="4" t="str">
        <f t="shared" si="5"/>
        <v>Low</v>
      </c>
    </row>
    <row r="220">
      <c r="A220" s="1">
        <v>4.057192912E9</v>
      </c>
      <c r="B220" s="3">
        <v>42462.0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1440.0</v>
      </c>
      <c r="O220" s="1">
        <v>1776.0</v>
      </c>
      <c r="P220" s="4">
        <f t="shared" si="1"/>
        <v>6</v>
      </c>
      <c r="Q220" s="4" t="str">
        <f t="shared" si="2"/>
        <v>Saturday</v>
      </c>
      <c r="R220" s="4">
        <f t="shared" si="3"/>
        <v>0</v>
      </c>
      <c r="S220" s="2">
        <f t="shared" si="4"/>
        <v>0</v>
      </c>
      <c r="T220" s="4" t="str">
        <f t="shared" si="5"/>
        <v>Low</v>
      </c>
    </row>
    <row r="221">
      <c r="A221" s="1">
        <v>4.057192912E9</v>
      </c>
      <c r="B221" s="3">
        <v>42463.0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1440.0</v>
      </c>
      <c r="O221" s="1">
        <v>1776.0</v>
      </c>
      <c r="P221" s="4">
        <f t="shared" si="1"/>
        <v>7</v>
      </c>
      <c r="Q221" s="4" t="str">
        <f t="shared" si="2"/>
        <v>Sunday</v>
      </c>
      <c r="R221" s="4">
        <f t="shared" si="3"/>
        <v>0</v>
      </c>
      <c r="S221" s="2">
        <f t="shared" si="4"/>
        <v>0</v>
      </c>
      <c r="T221" s="4" t="str">
        <f t="shared" si="5"/>
        <v>Low</v>
      </c>
    </row>
    <row r="222">
      <c r="A222" s="1">
        <v>4.057192912E9</v>
      </c>
      <c r="B222" s="3">
        <v>42464.0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1440.0</v>
      </c>
      <c r="O222" s="1">
        <v>1776.0</v>
      </c>
      <c r="P222" s="4">
        <f t="shared" si="1"/>
        <v>1</v>
      </c>
      <c r="Q222" s="4" t="str">
        <f t="shared" si="2"/>
        <v>Monday</v>
      </c>
      <c r="R222" s="4">
        <f t="shared" si="3"/>
        <v>0</v>
      </c>
      <c r="S222" s="2">
        <f t="shared" si="4"/>
        <v>0</v>
      </c>
      <c r="T222" s="4" t="str">
        <f t="shared" si="5"/>
        <v>Low</v>
      </c>
    </row>
    <row r="223">
      <c r="A223" s="1">
        <v>4.057192912E9</v>
      </c>
      <c r="B223" s="3">
        <v>42465.0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1440.0</v>
      </c>
      <c r="O223" s="1">
        <v>1776.0</v>
      </c>
      <c r="P223" s="4">
        <f t="shared" si="1"/>
        <v>2</v>
      </c>
      <c r="Q223" s="4" t="str">
        <f t="shared" si="2"/>
        <v>Tuesday</v>
      </c>
      <c r="R223" s="4">
        <f t="shared" si="3"/>
        <v>0</v>
      </c>
      <c r="S223" s="2">
        <f t="shared" si="4"/>
        <v>0</v>
      </c>
      <c r="T223" s="4" t="str">
        <f t="shared" si="5"/>
        <v>Low</v>
      </c>
    </row>
    <row r="224">
      <c r="A224" s="1">
        <v>4.057192912E9</v>
      </c>
      <c r="B224" s="3">
        <v>42466.0</v>
      </c>
      <c r="C224" s="1">
        <v>18.0</v>
      </c>
      <c r="D224" s="1">
        <v>0.00999999977648258</v>
      </c>
      <c r="E224" s="1">
        <v>0.00999999977648258</v>
      </c>
      <c r="F224" s="1">
        <v>0.0</v>
      </c>
      <c r="G224" s="1">
        <v>0.0</v>
      </c>
      <c r="H224" s="1">
        <v>0.0</v>
      </c>
      <c r="I224" s="1">
        <v>0.00999999977648258</v>
      </c>
      <c r="J224" s="1">
        <v>0.0</v>
      </c>
      <c r="K224" s="1">
        <v>0.0</v>
      </c>
      <c r="L224" s="1">
        <v>0.0</v>
      </c>
      <c r="M224" s="1">
        <v>2.0</v>
      </c>
      <c r="N224" s="1">
        <v>1438.0</v>
      </c>
      <c r="O224" s="1">
        <v>1780.0</v>
      </c>
      <c r="P224" s="4">
        <f t="shared" si="1"/>
        <v>3</v>
      </c>
      <c r="Q224" s="4" t="str">
        <f t="shared" si="2"/>
        <v>Wednesday</v>
      </c>
      <c r="R224" s="4">
        <f t="shared" si="3"/>
        <v>0.01999999955</v>
      </c>
      <c r="S224" s="2">
        <f t="shared" si="4"/>
        <v>0</v>
      </c>
      <c r="T224" s="4" t="str">
        <f t="shared" si="5"/>
        <v>Low</v>
      </c>
    </row>
    <row r="225">
      <c r="A225" s="1">
        <v>4.057192912E9</v>
      </c>
      <c r="B225" s="3">
        <v>42467.0</v>
      </c>
      <c r="C225" s="1">
        <v>4.0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1.0</v>
      </c>
      <c r="N225" s="1">
        <v>1439.0</v>
      </c>
      <c r="O225" s="1">
        <v>1778.0</v>
      </c>
      <c r="P225" s="4">
        <f t="shared" si="1"/>
        <v>4</v>
      </c>
      <c r="Q225" s="4" t="str">
        <f t="shared" si="2"/>
        <v>Thursday</v>
      </c>
      <c r="R225" s="4">
        <f t="shared" si="3"/>
        <v>0</v>
      </c>
      <c r="S225" s="2">
        <f t="shared" si="4"/>
        <v>0</v>
      </c>
      <c r="T225" s="4" t="str">
        <f t="shared" si="5"/>
        <v>Low</v>
      </c>
    </row>
    <row r="226">
      <c r="A226" s="1">
        <v>4.057192912E9</v>
      </c>
      <c r="B226" s="3">
        <v>42468.0</v>
      </c>
      <c r="C226" s="1">
        <v>8426.0</v>
      </c>
      <c r="D226" s="1">
        <v>6.15999984741211</v>
      </c>
      <c r="E226" s="1">
        <v>6.15999984741211</v>
      </c>
      <c r="F226" s="1">
        <v>0.0</v>
      </c>
      <c r="G226" s="1">
        <v>0.129999995231628</v>
      </c>
      <c r="H226" s="1">
        <v>5.48999977111816</v>
      </c>
      <c r="I226" s="1">
        <v>0.540000021457672</v>
      </c>
      <c r="J226" s="1">
        <v>0.0</v>
      </c>
      <c r="K226" s="1">
        <v>2.0</v>
      </c>
      <c r="L226" s="1">
        <v>120.0</v>
      </c>
      <c r="M226" s="1">
        <v>25.0</v>
      </c>
      <c r="N226" s="1">
        <v>1293.0</v>
      </c>
      <c r="O226" s="1">
        <v>2360.0</v>
      </c>
      <c r="P226" s="4">
        <f t="shared" si="1"/>
        <v>5</v>
      </c>
      <c r="Q226" s="4" t="str">
        <f t="shared" si="2"/>
        <v>Friday</v>
      </c>
      <c r="R226" s="4">
        <f t="shared" si="3"/>
        <v>12.31999969</v>
      </c>
      <c r="S226" s="2">
        <f t="shared" si="4"/>
        <v>0.08472222222</v>
      </c>
      <c r="T226" s="4" t="str">
        <f t="shared" si="5"/>
        <v>Low</v>
      </c>
    </row>
    <row r="227">
      <c r="A227" s="1">
        <v>4.057192912E9</v>
      </c>
      <c r="B227" s="3">
        <v>42469.0</v>
      </c>
      <c r="C227" s="1">
        <v>1650.0</v>
      </c>
      <c r="D227" s="1">
        <v>1.21000003814697</v>
      </c>
      <c r="E227" s="1">
        <v>1.21000003814697</v>
      </c>
      <c r="F227" s="1">
        <v>0.0</v>
      </c>
      <c r="G227" s="1">
        <v>0.0</v>
      </c>
      <c r="H227" s="1">
        <v>0.0</v>
      </c>
      <c r="I227" s="1">
        <v>1.21000003814697</v>
      </c>
      <c r="J227" s="1">
        <v>0.0</v>
      </c>
      <c r="K227" s="1">
        <v>0.0</v>
      </c>
      <c r="L227" s="1">
        <v>0.0</v>
      </c>
      <c r="M227" s="1">
        <v>60.0</v>
      </c>
      <c r="N227" s="1">
        <v>1380.0</v>
      </c>
      <c r="O227" s="1">
        <v>1952.0</v>
      </c>
      <c r="P227" s="4">
        <f t="shared" si="1"/>
        <v>6</v>
      </c>
      <c r="Q227" s="4" t="str">
        <f t="shared" si="2"/>
        <v>Saturday</v>
      </c>
      <c r="R227" s="4">
        <f t="shared" si="3"/>
        <v>2.420000076</v>
      </c>
      <c r="S227" s="2">
        <f t="shared" si="4"/>
        <v>0</v>
      </c>
      <c r="T227" s="4" t="str">
        <f t="shared" si="5"/>
        <v>Low</v>
      </c>
    </row>
    <row r="228">
      <c r="A228" s="1">
        <v>4.057192912E9</v>
      </c>
      <c r="B228" s="3">
        <v>42470.0</v>
      </c>
      <c r="C228" s="1">
        <v>3434.0</v>
      </c>
      <c r="D228" s="1">
        <v>2.50999999046326</v>
      </c>
      <c r="E228" s="1">
        <v>2.50999999046326</v>
      </c>
      <c r="F228" s="1">
        <v>0.0</v>
      </c>
      <c r="G228" s="1">
        <v>0.0700000002980232</v>
      </c>
      <c r="H228" s="1">
        <v>0.300000011920929</v>
      </c>
      <c r="I228" s="1">
        <v>2.14000010490417</v>
      </c>
      <c r="J228" s="1">
        <v>0.0</v>
      </c>
      <c r="K228" s="1">
        <v>1.0</v>
      </c>
      <c r="L228" s="1">
        <v>7.0</v>
      </c>
      <c r="M228" s="1">
        <v>108.0</v>
      </c>
      <c r="N228" s="1">
        <v>1324.0</v>
      </c>
      <c r="O228" s="1">
        <v>2101.0</v>
      </c>
      <c r="P228" s="4">
        <f t="shared" si="1"/>
        <v>7</v>
      </c>
      <c r="Q228" s="4" t="str">
        <f t="shared" si="2"/>
        <v>Sunday</v>
      </c>
      <c r="R228" s="4">
        <f t="shared" si="3"/>
        <v>5.019999981</v>
      </c>
      <c r="S228" s="2">
        <f t="shared" si="4"/>
        <v>0.005555555556</v>
      </c>
      <c r="T228" s="4" t="str">
        <f t="shared" si="5"/>
        <v>Low</v>
      </c>
    </row>
    <row r="229">
      <c r="A229" s="1">
        <v>4.057192912E9</v>
      </c>
      <c r="B229" s="3">
        <v>42471.0</v>
      </c>
      <c r="C229" s="1">
        <v>6801.0</v>
      </c>
      <c r="D229" s="1">
        <v>4.98000001907349</v>
      </c>
      <c r="E229" s="1">
        <v>4.98000001907349</v>
      </c>
      <c r="F229" s="1">
        <v>0.0</v>
      </c>
      <c r="G229" s="1">
        <v>0.0</v>
      </c>
      <c r="H229" s="1">
        <v>0.0</v>
      </c>
      <c r="I229" s="1">
        <v>4.96999979019165</v>
      </c>
      <c r="J229" s="1">
        <v>0.0</v>
      </c>
      <c r="K229" s="1">
        <v>0.0</v>
      </c>
      <c r="L229" s="1">
        <v>0.0</v>
      </c>
      <c r="M229" s="1">
        <v>193.0</v>
      </c>
      <c r="N229" s="1">
        <v>1247.0</v>
      </c>
      <c r="O229" s="1">
        <v>2393.0</v>
      </c>
      <c r="P229" s="4">
        <f t="shared" si="1"/>
        <v>1</v>
      </c>
      <c r="Q229" s="4" t="str">
        <f t="shared" si="2"/>
        <v>Monday</v>
      </c>
      <c r="R229" s="4">
        <f t="shared" si="3"/>
        <v>9.960000038</v>
      </c>
      <c r="S229" s="2">
        <f t="shared" si="4"/>
        <v>0</v>
      </c>
      <c r="T229" s="4" t="str">
        <f t="shared" si="5"/>
        <v>Low</v>
      </c>
    </row>
    <row r="230">
      <c r="A230" s="1">
        <v>4.057192912E9</v>
      </c>
      <c r="B230" s="3">
        <v>42472.0</v>
      </c>
      <c r="C230" s="1">
        <v>187.0</v>
      </c>
      <c r="D230" s="1">
        <v>0.140000000596046</v>
      </c>
      <c r="E230" s="1">
        <v>0.140000000596046</v>
      </c>
      <c r="F230" s="1">
        <v>0.0</v>
      </c>
      <c r="G230" s="1">
        <v>0.0</v>
      </c>
      <c r="H230" s="1">
        <v>0.0</v>
      </c>
      <c r="I230" s="1">
        <v>0.140000000596046</v>
      </c>
      <c r="J230" s="1">
        <v>0.0</v>
      </c>
      <c r="K230" s="1">
        <v>0.0</v>
      </c>
      <c r="L230" s="1">
        <v>0.0</v>
      </c>
      <c r="M230" s="1">
        <v>11.0</v>
      </c>
      <c r="N230" s="1">
        <v>400.0</v>
      </c>
      <c r="O230" s="1">
        <v>538.0</v>
      </c>
      <c r="P230" s="4">
        <f t="shared" si="1"/>
        <v>2</v>
      </c>
      <c r="Q230" s="4" t="str">
        <f t="shared" si="2"/>
        <v>Tuesday</v>
      </c>
      <c r="R230" s="4">
        <f t="shared" si="3"/>
        <v>0.2800000012</v>
      </c>
      <c r="S230" s="2">
        <f t="shared" si="4"/>
        <v>0</v>
      </c>
      <c r="T230" s="4" t="str">
        <f t="shared" si="5"/>
        <v>Low</v>
      </c>
    </row>
    <row r="231">
      <c r="A231" s="1">
        <v>4.319703577E9</v>
      </c>
      <c r="B231" s="3">
        <v>42458.0</v>
      </c>
      <c r="C231" s="1">
        <v>5643.0</v>
      </c>
      <c r="D231" s="1">
        <v>3.78999996185303</v>
      </c>
      <c r="E231" s="1">
        <v>3.78999996185303</v>
      </c>
      <c r="F231" s="1">
        <v>0.0</v>
      </c>
      <c r="G231" s="1">
        <v>0.230000004172325</v>
      </c>
      <c r="H231" s="1">
        <v>0.330000013113022</v>
      </c>
      <c r="I231" s="1">
        <v>3.23000001907349</v>
      </c>
      <c r="J231" s="1">
        <v>0.0</v>
      </c>
      <c r="K231" s="1">
        <v>3.0</v>
      </c>
      <c r="L231" s="1">
        <v>8.0</v>
      </c>
      <c r="M231" s="1">
        <v>199.0</v>
      </c>
      <c r="N231" s="1">
        <v>683.0</v>
      </c>
      <c r="O231" s="1">
        <v>1958.0</v>
      </c>
      <c r="P231" s="4">
        <f t="shared" si="1"/>
        <v>2</v>
      </c>
      <c r="Q231" s="4" t="str">
        <f t="shared" si="2"/>
        <v>Tuesday</v>
      </c>
      <c r="R231" s="4">
        <f t="shared" si="3"/>
        <v>7.579999924</v>
      </c>
      <c r="S231" s="2">
        <f t="shared" si="4"/>
        <v>0.01231802912</v>
      </c>
      <c r="T231" s="4" t="str">
        <f t="shared" si="5"/>
        <v>Low</v>
      </c>
    </row>
    <row r="232">
      <c r="A232" s="1">
        <v>4.319703577E9</v>
      </c>
      <c r="B232" s="3">
        <v>42459.0</v>
      </c>
      <c r="C232" s="1">
        <v>9043.0</v>
      </c>
      <c r="D232" s="1">
        <v>6.07000017166138</v>
      </c>
      <c r="E232" s="1">
        <v>6.07000017166138</v>
      </c>
      <c r="F232" s="1">
        <v>0.0</v>
      </c>
      <c r="G232" s="1">
        <v>0.25</v>
      </c>
      <c r="H232" s="1">
        <v>0.430000007152557</v>
      </c>
      <c r="I232" s="1">
        <v>5.36999988555908</v>
      </c>
      <c r="J232" s="1">
        <v>0.0</v>
      </c>
      <c r="K232" s="1">
        <v>4.0</v>
      </c>
      <c r="L232" s="1">
        <v>12.0</v>
      </c>
      <c r="M232" s="1">
        <v>244.0</v>
      </c>
      <c r="N232" s="1">
        <v>702.0</v>
      </c>
      <c r="O232" s="1">
        <v>2141.0</v>
      </c>
      <c r="P232" s="4">
        <f t="shared" si="1"/>
        <v>3</v>
      </c>
      <c r="Q232" s="4" t="str">
        <f t="shared" si="2"/>
        <v>Wednesday</v>
      </c>
      <c r="R232" s="4">
        <f t="shared" si="3"/>
        <v>12.14000034</v>
      </c>
      <c r="S232" s="2">
        <f t="shared" si="4"/>
        <v>0.01663201663</v>
      </c>
      <c r="T232" s="4" t="str">
        <f t="shared" si="5"/>
        <v>Low</v>
      </c>
    </row>
    <row r="233">
      <c r="A233" s="1">
        <v>4.319703577E9</v>
      </c>
      <c r="B233" s="3">
        <v>42460.0</v>
      </c>
      <c r="C233" s="1">
        <v>8144.0</v>
      </c>
      <c r="D233" s="1">
        <v>5.46000003814697</v>
      </c>
      <c r="E233" s="1">
        <v>5.46000003814697</v>
      </c>
      <c r="F233" s="1">
        <v>0.0</v>
      </c>
      <c r="G233" s="1">
        <v>0.25</v>
      </c>
      <c r="H233" s="1">
        <v>0.610000014305115</v>
      </c>
      <c r="I233" s="1">
        <v>4.6100001335144</v>
      </c>
      <c r="J233" s="1">
        <v>0.0</v>
      </c>
      <c r="K233" s="1">
        <v>4.0</v>
      </c>
      <c r="L233" s="1">
        <v>17.0</v>
      </c>
      <c r="M233" s="1">
        <v>247.0</v>
      </c>
      <c r="N233" s="1">
        <v>1125.0</v>
      </c>
      <c r="O233" s="1">
        <v>2129.0</v>
      </c>
      <c r="P233" s="4">
        <f t="shared" si="1"/>
        <v>4</v>
      </c>
      <c r="Q233" s="4" t="str">
        <f t="shared" si="2"/>
        <v>Thursday</v>
      </c>
      <c r="R233" s="4">
        <f t="shared" si="3"/>
        <v>10.92000008</v>
      </c>
      <c r="S233" s="2">
        <f t="shared" si="4"/>
        <v>0.01507537688</v>
      </c>
      <c r="T233" s="4" t="str">
        <f t="shared" si="5"/>
        <v>Low</v>
      </c>
    </row>
    <row r="234">
      <c r="A234" s="1">
        <v>4.319703577E9</v>
      </c>
      <c r="B234" s="3">
        <v>42461.0</v>
      </c>
      <c r="C234" s="1">
        <v>9343.0</v>
      </c>
      <c r="D234" s="1">
        <v>6.26999998092651</v>
      </c>
      <c r="E234" s="1">
        <v>6.26999998092651</v>
      </c>
      <c r="F234" s="1">
        <v>0.0</v>
      </c>
      <c r="G234" s="1">
        <v>0.959999978542328</v>
      </c>
      <c r="H234" s="1">
        <v>0.850000023841858</v>
      </c>
      <c r="I234" s="1">
        <v>4.46000003814697</v>
      </c>
      <c r="J234" s="1">
        <v>0.0</v>
      </c>
      <c r="K234" s="1">
        <v>14.0</v>
      </c>
      <c r="L234" s="1">
        <v>20.0</v>
      </c>
      <c r="M234" s="1">
        <v>268.0</v>
      </c>
      <c r="N234" s="1">
        <v>654.0</v>
      </c>
      <c r="O234" s="1">
        <v>2216.0</v>
      </c>
      <c r="P234" s="4">
        <f t="shared" si="1"/>
        <v>5</v>
      </c>
      <c r="Q234" s="4" t="str">
        <f t="shared" si="2"/>
        <v>Friday</v>
      </c>
      <c r="R234" s="4">
        <f t="shared" si="3"/>
        <v>12.53999996</v>
      </c>
      <c r="S234" s="2">
        <f t="shared" si="4"/>
        <v>0.03556485356</v>
      </c>
      <c r="T234" s="4" t="str">
        <f t="shared" si="5"/>
        <v>Low</v>
      </c>
    </row>
    <row r="235">
      <c r="A235" s="1">
        <v>4.319703577E9</v>
      </c>
      <c r="B235" s="3">
        <v>42462.0</v>
      </c>
      <c r="C235" s="1">
        <v>8405.0</v>
      </c>
      <c r="D235" s="1">
        <v>5.65999984741211</v>
      </c>
      <c r="E235" s="1">
        <v>5.65999984741211</v>
      </c>
      <c r="F235" s="1">
        <v>0.0</v>
      </c>
      <c r="G235" s="1">
        <v>1.12999999523163</v>
      </c>
      <c r="H235" s="1">
        <v>0.189999997615814</v>
      </c>
      <c r="I235" s="1">
        <v>4.34000015258789</v>
      </c>
      <c r="J235" s="1">
        <v>0.0</v>
      </c>
      <c r="K235" s="1">
        <v>15.0</v>
      </c>
      <c r="L235" s="1">
        <v>4.0</v>
      </c>
      <c r="M235" s="1">
        <v>257.0</v>
      </c>
      <c r="N235" s="1">
        <v>621.0</v>
      </c>
      <c r="O235" s="1">
        <v>2154.0</v>
      </c>
      <c r="P235" s="4">
        <f t="shared" si="1"/>
        <v>6</v>
      </c>
      <c r="Q235" s="4" t="str">
        <f t="shared" si="2"/>
        <v>Saturday</v>
      </c>
      <c r="R235" s="4">
        <f t="shared" si="3"/>
        <v>11.31999969</v>
      </c>
      <c r="S235" s="2">
        <f t="shared" si="4"/>
        <v>0.02118171683</v>
      </c>
      <c r="T235" s="4" t="str">
        <f t="shared" si="5"/>
        <v>Moderate</v>
      </c>
    </row>
    <row r="236">
      <c r="A236" s="1">
        <v>4.319703577E9</v>
      </c>
      <c r="B236" s="3">
        <v>42463.0</v>
      </c>
      <c r="C236" s="1">
        <v>8223.0</v>
      </c>
      <c r="D236" s="1">
        <v>5.51999998092651</v>
      </c>
      <c r="E236" s="1">
        <v>5.51999998092651</v>
      </c>
      <c r="F236" s="1">
        <v>0.0</v>
      </c>
      <c r="G236" s="1">
        <v>0.800000011920929</v>
      </c>
      <c r="H236" s="1">
        <v>1.50999999046326</v>
      </c>
      <c r="I236" s="1">
        <v>3.21000003814697</v>
      </c>
      <c r="J236" s="1">
        <v>0.0</v>
      </c>
      <c r="K236" s="1">
        <v>12.0</v>
      </c>
      <c r="L236" s="1">
        <v>37.0</v>
      </c>
      <c r="M236" s="1">
        <v>257.0</v>
      </c>
      <c r="N236" s="1">
        <v>551.0</v>
      </c>
      <c r="O236" s="1">
        <v>2178.0</v>
      </c>
      <c r="P236" s="4">
        <f t="shared" si="1"/>
        <v>7</v>
      </c>
      <c r="Q236" s="4" t="str">
        <f t="shared" si="2"/>
        <v>Sunday</v>
      </c>
      <c r="R236" s="4">
        <f t="shared" si="3"/>
        <v>11.03999996</v>
      </c>
      <c r="S236" s="2">
        <f t="shared" si="4"/>
        <v>0.05717619603</v>
      </c>
      <c r="T236" s="4" t="str">
        <f t="shared" si="5"/>
        <v>Low</v>
      </c>
    </row>
    <row r="237">
      <c r="A237" s="1">
        <v>4.319703577E9</v>
      </c>
      <c r="B237" s="3">
        <v>42464.0</v>
      </c>
      <c r="C237" s="1">
        <v>10067.0</v>
      </c>
      <c r="D237" s="1">
        <v>6.76000022888184</v>
      </c>
      <c r="E237" s="1">
        <v>6.76000022888184</v>
      </c>
      <c r="F237" s="1">
        <v>0.0</v>
      </c>
      <c r="G237" s="1">
        <v>0.360000014305115</v>
      </c>
      <c r="H237" s="1">
        <v>1.41999995708466</v>
      </c>
      <c r="I237" s="1">
        <v>4.96999979019165</v>
      </c>
      <c r="J237" s="1">
        <v>0.0</v>
      </c>
      <c r="K237" s="1">
        <v>5.0</v>
      </c>
      <c r="L237" s="1">
        <v>39.0</v>
      </c>
      <c r="M237" s="1">
        <v>313.0</v>
      </c>
      <c r="N237" s="1">
        <v>578.0</v>
      </c>
      <c r="O237" s="1">
        <v>2308.0</v>
      </c>
      <c r="P237" s="4">
        <f t="shared" si="1"/>
        <v>1</v>
      </c>
      <c r="Q237" s="4" t="str">
        <f t="shared" si="2"/>
        <v>Monday</v>
      </c>
      <c r="R237" s="4">
        <f t="shared" si="3"/>
        <v>13.52000046</v>
      </c>
      <c r="S237" s="2">
        <f t="shared" si="4"/>
        <v>0.04705882353</v>
      </c>
      <c r="T237" s="4" t="str">
        <f t="shared" si="5"/>
        <v>Low</v>
      </c>
    </row>
    <row r="238">
      <c r="A238" s="1">
        <v>4.319703577E9</v>
      </c>
      <c r="B238" s="3">
        <v>42465.0</v>
      </c>
      <c r="C238" s="1">
        <v>8359.0</v>
      </c>
      <c r="D238" s="1">
        <v>5.63000011444092</v>
      </c>
      <c r="E238" s="1">
        <v>5.63000011444092</v>
      </c>
      <c r="F238" s="1">
        <v>0.0</v>
      </c>
      <c r="G238" s="1">
        <v>0.230000004172325</v>
      </c>
      <c r="H238" s="1">
        <v>0.529999971389771</v>
      </c>
      <c r="I238" s="1">
        <v>4.86999988555908</v>
      </c>
      <c r="J238" s="1">
        <v>0.0</v>
      </c>
      <c r="K238" s="1">
        <v>3.0</v>
      </c>
      <c r="L238" s="1">
        <v>14.0</v>
      </c>
      <c r="M238" s="1">
        <v>311.0</v>
      </c>
      <c r="N238" s="1">
        <v>638.0</v>
      </c>
      <c r="O238" s="1">
        <v>2201.0</v>
      </c>
      <c r="P238" s="4">
        <f t="shared" si="1"/>
        <v>2</v>
      </c>
      <c r="Q238" s="4" t="str">
        <f t="shared" si="2"/>
        <v>Tuesday</v>
      </c>
      <c r="R238" s="4">
        <f t="shared" si="3"/>
        <v>11.26000023</v>
      </c>
      <c r="S238" s="2">
        <f t="shared" si="4"/>
        <v>0.01759834369</v>
      </c>
      <c r="T238" s="4" t="str">
        <f t="shared" si="5"/>
        <v>Low</v>
      </c>
    </row>
    <row r="239">
      <c r="A239" s="1">
        <v>4.319703577E9</v>
      </c>
      <c r="B239" s="3">
        <v>42466.0</v>
      </c>
      <c r="C239" s="1">
        <v>10946.0</v>
      </c>
      <c r="D239" s="1">
        <v>7.34999990463257</v>
      </c>
      <c r="E239" s="1">
        <v>7.34999990463257</v>
      </c>
      <c r="F239" s="1">
        <v>0.0</v>
      </c>
      <c r="G239" s="1">
        <v>0.540000021457672</v>
      </c>
      <c r="H239" s="1">
        <v>2.08999991416931</v>
      </c>
      <c r="I239" s="1">
        <v>4.71999979019165</v>
      </c>
      <c r="J239" s="1">
        <v>0.0</v>
      </c>
      <c r="K239" s="1">
        <v>8.0</v>
      </c>
      <c r="L239" s="1">
        <v>51.0</v>
      </c>
      <c r="M239" s="1">
        <v>308.0</v>
      </c>
      <c r="N239" s="1">
        <v>569.0</v>
      </c>
      <c r="O239" s="1">
        <v>2341.0</v>
      </c>
      <c r="P239" s="4">
        <f t="shared" si="1"/>
        <v>3</v>
      </c>
      <c r="Q239" s="4" t="str">
        <f t="shared" si="2"/>
        <v>Wednesday</v>
      </c>
      <c r="R239" s="4">
        <f t="shared" si="3"/>
        <v>14.69999981</v>
      </c>
      <c r="S239" s="2">
        <f t="shared" si="4"/>
        <v>0.06303418803</v>
      </c>
      <c r="T239" s="4" t="str">
        <f t="shared" si="5"/>
        <v>Low</v>
      </c>
    </row>
    <row r="240">
      <c r="A240" s="1">
        <v>4.319703577E9</v>
      </c>
      <c r="B240" s="3">
        <v>42467.0</v>
      </c>
      <c r="C240" s="1">
        <v>9130.0</v>
      </c>
      <c r="D240" s="1">
        <v>6.15000009536743</v>
      </c>
      <c r="E240" s="1">
        <v>6.15000009536743</v>
      </c>
      <c r="F240" s="1">
        <v>0.0</v>
      </c>
      <c r="G240" s="1">
        <v>0.5</v>
      </c>
      <c r="H240" s="1">
        <v>0.379999995231628</v>
      </c>
      <c r="I240" s="1">
        <v>5.26999998092651</v>
      </c>
      <c r="J240" s="1">
        <v>0.0</v>
      </c>
      <c r="K240" s="1">
        <v>7.0</v>
      </c>
      <c r="L240" s="1">
        <v>11.0</v>
      </c>
      <c r="M240" s="1">
        <v>304.0</v>
      </c>
      <c r="N240" s="1">
        <v>668.0</v>
      </c>
      <c r="O240" s="1">
        <v>2236.0</v>
      </c>
      <c r="P240" s="4">
        <f t="shared" si="1"/>
        <v>4</v>
      </c>
      <c r="Q240" s="4" t="str">
        <f t="shared" si="2"/>
        <v>Thursday</v>
      </c>
      <c r="R240" s="4">
        <f t="shared" si="3"/>
        <v>12.30000019</v>
      </c>
      <c r="S240" s="2">
        <f t="shared" si="4"/>
        <v>0.01818181818</v>
      </c>
      <c r="T240" s="4" t="str">
        <f t="shared" si="5"/>
        <v>Low</v>
      </c>
    </row>
    <row r="241">
      <c r="A241" s="1">
        <v>4.319703577E9</v>
      </c>
      <c r="B241" s="3">
        <v>42468.0</v>
      </c>
      <c r="C241" s="1">
        <v>6544.0</v>
      </c>
      <c r="D241" s="1">
        <v>4.40999984741211</v>
      </c>
      <c r="E241" s="1">
        <v>4.40999984741211</v>
      </c>
      <c r="F241" s="1">
        <v>0.0</v>
      </c>
      <c r="G241" s="1">
        <v>0.28999999165535</v>
      </c>
      <c r="H241" s="1">
        <v>0.259999990463257</v>
      </c>
      <c r="I241" s="1">
        <v>3.85999989509583</v>
      </c>
      <c r="J241" s="1">
        <v>0.0</v>
      </c>
      <c r="K241" s="1">
        <v>4.0</v>
      </c>
      <c r="L241" s="1">
        <v>6.0</v>
      </c>
      <c r="M241" s="1">
        <v>276.0</v>
      </c>
      <c r="N241" s="1">
        <v>1132.0</v>
      </c>
      <c r="O241" s="1">
        <v>2069.0</v>
      </c>
      <c r="P241" s="4">
        <f t="shared" si="1"/>
        <v>5</v>
      </c>
      <c r="Q241" s="4" t="str">
        <f t="shared" si="2"/>
        <v>Friday</v>
      </c>
      <c r="R241" s="4">
        <f t="shared" si="3"/>
        <v>8.819999695</v>
      </c>
      <c r="S241" s="2">
        <f t="shared" si="4"/>
        <v>0.007052186178</v>
      </c>
      <c r="T241" s="4" t="str">
        <f t="shared" si="5"/>
        <v>Low</v>
      </c>
    </row>
    <row r="242">
      <c r="A242" s="1">
        <v>4.319703577E9</v>
      </c>
      <c r="B242" s="3">
        <v>42469.0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1440.0</v>
      </c>
      <c r="O242" s="1">
        <v>0.0</v>
      </c>
      <c r="P242" s="4">
        <f t="shared" si="1"/>
        <v>6</v>
      </c>
      <c r="Q242" s="4" t="str">
        <f t="shared" si="2"/>
        <v>Saturday</v>
      </c>
      <c r="R242" s="4">
        <f t="shared" si="3"/>
        <v>0</v>
      </c>
      <c r="S242" s="2">
        <f t="shared" si="4"/>
        <v>0</v>
      </c>
      <c r="T242" s="4" t="str">
        <f t="shared" si="5"/>
        <v>Low</v>
      </c>
    </row>
    <row r="243">
      <c r="A243" s="1">
        <v>4.388161847E9</v>
      </c>
      <c r="B243" s="3">
        <v>42458.0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1440.0</v>
      </c>
      <c r="O243" s="1">
        <v>1878.0</v>
      </c>
      <c r="P243" s="4">
        <f t="shared" si="1"/>
        <v>2</v>
      </c>
      <c r="Q243" s="4" t="str">
        <f t="shared" si="2"/>
        <v>Tuesday</v>
      </c>
      <c r="R243" s="4">
        <f t="shared" si="3"/>
        <v>0</v>
      </c>
      <c r="S243" s="2">
        <f t="shared" si="4"/>
        <v>0</v>
      </c>
      <c r="T243" s="4" t="str">
        <f t="shared" si="5"/>
        <v>Low</v>
      </c>
    </row>
    <row r="244">
      <c r="A244" s="1">
        <v>4.388161847E9</v>
      </c>
      <c r="B244" s="3">
        <v>42459.0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1440.0</v>
      </c>
      <c r="O244" s="1">
        <v>1878.0</v>
      </c>
      <c r="P244" s="4">
        <f t="shared" si="1"/>
        <v>3</v>
      </c>
      <c r="Q244" s="4" t="str">
        <f t="shared" si="2"/>
        <v>Wednesday</v>
      </c>
      <c r="R244" s="4">
        <f t="shared" si="3"/>
        <v>0</v>
      </c>
      <c r="S244" s="2">
        <f t="shared" si="4"/>
        <v>0</v>
      </c>
      <c r="T244" s="4" t="str">
        <f t="shared" si="5"/>
        <v>Low</v>
      </c>
    </row>
    <row r="245">
      <c r="A245" s="1">
        <v>4.388161847E9</v>
      </c>
      <c r="B245" s="3">
        <v>42460.0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1440.0</v>
      </c>
      <c r="O245" s="1">
        <v>1878.0</v>
      </c>
      <c r="P245" s="4">
        <f t="shared" si="1"/>
        <v>4</v>
      </c>
      <c r="Q245" s="4" t="str">
        <f t="shared" si="2"/>
        <v>Thursday</v>
      </c>
      <c r="R245" s="4">
        <f t="shared" si="3"/>
        <v>0</v>
      </c>
      <c r="S245" s="2">
        <f t="shared" si="4"/>
        <v>0</v>
      </c>
      <c r="T245" s="4" t="str">
        <f t="shared" si="5"/>
        <v>Low</v>
      </c>
    </row>
    <row r="246">
      <c r="A246" s="1">
        <v>4.388161847E9</v>
      </c>
      <c r="B246" s="3">
        <v>42461.0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1440.0</v>
      </c>
      <c r="O246" s="1">
        <v>1878.0</v>
      </c>
      <c r="P246" s="4">
        <f t="shared" si="1"/>
        <v>5</v>
      </c>
      <c r="Q246" s="4" t="str">
        <f t="shared" si="2"/>
        <v>Friday</v>
      </c>
      <c r="R246" s="4">
        <f t="shared" si="3"/>
        <v>0</v>
      </c>
      <c r="S246" s="2">
        <f t="shared" si="4"/>
        <v>0</v>
      </c>
      <c r="T246" s="4" t="str">
        <f t="shared" si="5"/>
        <v>Low</v>
      </c>
    </row>
    <row r="247">
      <c r="A247" s="1">
        <v>4.388161847E9</v>
      </c>
      <c r="B247" s="3">
        <v>42462.0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1440.0</v>
      </c>
      <c r="O247" s="1">
        <v>1878.0</v>
      </c>
      <c r="P247" s="4">
        <f t="shared" si="1"/>
        <v>6</v>
      </c>
      <c r="Q247" s="4" t="str">
        <f t="shared" si="2"/>
        <v>Saturday</v>
      </c>
      <c r="R247" s="4">
        <f t="shared" si="3"/>
        <v>0</v>
      </c>
      <c r="S247" s="2">
        <f t="shared" si="4"/>
        <v>0</v>
      </c>
      <c r="T247" s="4" t="str">
        <f t="shared" si="5"/>
        <v>Low</v>
      </c>
    </row>
    <row r="248">
      <c r="A248" s="1">
        <v>4.388161847E9</v>
      </c>
      <c r="B248" s="3">
        <v>42463.0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1440.0</v>
      </c>
      <c r="O248" s="1">
        <v>1878.0</v>
      </c>
      <c r="P248" s="4">
        <f t="shared" si="1"/>
        <v>7</v>
      </c>
      <c r="Q248" s="4" t="str">
        <f t="shared" si="2"/>
        <v>Sunday</v>
      </c>
      <c r="R248" s="4">
        <f t="shared" si="3"/>
        <v>0</v>
      </c>
      <c r="S248" s="2">
        <f t="shared" si="4"/>
        <v>0</v>
      </c>
      <c r="T248" s="4" t="str">
        <f t="shared" si="5"/>
        <v>Low</v>
      </c>
    </row>
    <row r="249">
      <c r="A249" s="1">
        <v>4.388161847E9</v>
      </c>
      <c r="B249" s="3">
        <v>42464.0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1440.0</v>
      </c>
      <c r="O249" s="1">
        <v>1878.0</v>
      </c>
      <c r="P249" s="4">
        <f t="shared" si="1"/>
        <v>1</v>
      </c>
      <c r="Q249" s="4" t="str">
        <f t="shared" si="2"/>
        <v>Monday</v>
      </c>
      <c r="R249" s="4">
        <f t="shared" si="3"/>
        <v>0</v>
      </c>
      <c r="S249" s="2">
        <f t="shared" si="4"/>
        <v>0</v>
      </c>
      <c r="T249" s="4" t="str">
        <f t="shared" si="5"/>
        <v>Low</v>
      </c>
    </row>
    <row r="250">
      <c r="A250" s="1">
        <v>4.388161847E9</v>
      </c>
      <c r="B250" s="3">
        <v>42465.0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994.0</v>
      </c>
      <c r="O250" s="1">
        <v>1296.0</v>
      </c>
      <c r="P250" s="4">
        <f t="shared" si="1"/>
        <v>2</v>
      </c>
      <c r="Q250" s="4" t="str">
        <f t="shared" si="2"/>
        <v>Tuesday</v>
      </c>
      <c r="R250" s="4">
        <f t="shared" si="3"/>
        <v>0</v>
      </c>
      <c r="S250" s="2">
        <f t="shared" si="4"/>
        <v>0</v>
      </c>
      <c r="T250" s="4" t="str">
        <f t="shared" si="5"/>
        <v>Low</v>
      </c>
    </row>
    <row r="251">
      <c r="A251" s="1">
        <v>4.445114986E9</v>
      </c>
      <c r="B251" s="3">
        <v>42458.0</v>
      </c>
      <c r="C251" s="1">
        <v>2303.0</v>
      </c>
      <c r="D251" s="1">
        <v>1.54999995231628</v>
      </c>
      <c r="E251" s="1">
        <v>1.54999995231628</v>
      </c>
      <c r="F251" s="1">
        <v>0.0</v>
      </c>
      <c r="G251" s="1">
        <v>0.0</v>
      </c>
      <c r="H251" s="1">
        <v>0.0</v>
      </c>
      <c r="I251" s="1">
        <v>1.54999995231628</v>
      </c>
      <c r="J251" s="1">
        <v>0.0</v>
      </c>
      <c r="K251" s="1">
        <v>0.0</v>
      </c>
      <c r="L251" s="1">
        <v>0.0</v>
      </c>
      <c r="M251" s="1">
        <v>155.0</v>
      </c>
      <c r="N251" s="1">
        <v>807.0</v>
      </c>
      <c r="O251" s="1">
        <v>2010.0</v>
      </c>
      <c r="P251" s="4">
        <f t="shared" si="1"/>
        <v>2</v>
      </c>
      <c r="Q251" s="4" t="str">
        <f t="shared" si="2"/>
        <v>Tuesday</v>
      </c>
      <c r="R251" s="4">
        <f t="shared" si="3"/>
        <v>3.099999905</v>
      </c>
      <c r="S251" s="2">
        <f t="shared" si="4"/>
        <v>0</v>
      </c>
      <c r="T251" s="4" t="str">
        <f t="shared" si="5"/>
        <v>Low</v>
      </c>
    </row>
    <row r="252">
      <c r="A252" s="1">
        <v>4.445114986E9</v>
      </c>
      <c r="B252" s="3">
        <v>42459.0</v>
      </c>
      <c r="C252" s="1">
        <v>2600.0</v>
      </c>
      <c r="D252" s="1">
        <v>1.74000000953674</v>
      </c>
      <c r="E252" s="1">
        <v>1.74000000953674</v>
      </c>
      <c r="F252" s="1">
        <v>0.0</v>
      </c>
      <c r="G252" s="1">
        <v>0.0</v>
      </c>
      <c r="H252" s="1">
        <v>0.0</v>
      </c>
      <c r="I252" s="1">
        <v>1.74000000953674</v>
      </c>
      <c r="J252" s="1">
        <v>0.0</v>
      </c>
      <c r="K252" s="1">
        <v>0.0</v>
      </c>
      <c r="L252" s="1">
        <v>0.0</v>
      </c>
      <c r="M252" s="1">
        <v>163.0</v>
      </c>
      <c r="N252" s="1">
        <v>1277.0</v>
      </c>
      <c r="O252" s="1">
        <v>2032.0</v>
      </c>
      <c r="P252" s="4">
        <f t="shared" si="1"/>
        <v>3</v>
      </c>
      <c r="Q252" s="4" t="str">
        <f t="shared" si="2"/>
        <v>Wednesday</v>
      </c>
      <c r="R252" s="4">
        <f t="shared" si="3"/>
        <v>3.480000019</v>
      </c>
      <c r="S252" s="2">
        <f t="shared" si="4"/>
        <v>0</v>
      </c>
      <c r="T252" s="4" t="str">
        <f t="shared" si="5"/>
        <v>Low</v>
      </c>
    </row>
    <row r="253">
      <c r="A253" s="1">
        <v>4.445114986E9</v>
      </c>
      <c r="B253" s="3">
        <v>42460.0</v>
      </c>
      <c r="C253" s="1">
        <v>4804.0</v>
      </c>
      <c r="D253" s="1">
        <v>3.22000002861023</v>
      </c>
      <c r="E253" s="1">
        <v>3.22000002861023</v>
      </c>
      <c r="F253" s="1">
        <v>0.0</v>
      </c>
      <c r="G253" s="1">
        <v>0.0</v>
      </c>
      <c r="H253" s="1">
        <v>0.0</v>
      </c>
      <c r="I253" s="1">
        <v>3.22000002861023</v>
      </c>
      <c r="J253" s="1">
        <v>0.0</v>
      </c>
      <c r="K253" s="1">
        <v>0.0</v>
      </c>
      <c r="L253" s="1">
        <v>0.0</v>
      </c>
      <c r="M253" s="1">
        <v>238.0</v>
      </c>
      <c r="N253" s="1">
        <v>786.0</v>
      </c>
      <c r="O253" s="1">
        <v>2227.0</v>
      </c>
      <c r="P253" s="4">
        <f t="shared" si="1"/>
        <v>4</v>
      </c>
      <c r="Q253" s="4" t="str">
        <f t="shared" si="2"/>
        <v>Thursday</v>
      </c>
      <c r="R253" s="4">
        <f t="shared" si="3"/>
        <v>6.440000057</v>
      </c>
      <c r="S253" s="2">
        <f t="shared" si="4"/>
        <v>0</v>
      </c>
      <c r="T253" s="4" t="str">
        <f t="shared" si="5"/>
        <v>Low</v>
      </c>
    </row>
    <row r="254">
      <c r="A254" s="1">
        <v>4.445114986E9</v>
      </c>
      <c r="B254" s="3">
        <v>42461.0</v>
      </c>
      <c r="C254" s="1">
        <v>3271.0</v>
      </c>
      <c r="D254" s="1">
        <v>2.19000005722046</v>
      </c>
      <c r="E254" s="1">
        <v>2.19000005722046</v>
      </c>
      <c r="F254" s="1">
        <v>0.0</v>
      </c>
      <c r="G254" s="1">
        <v>0.0</v>
      </c>
      <c r="H254" s="1">
        <v>0.0</v>
      </c>
      <c r="I254" s="1">
        <v>2.19000005722046</v>
      </c>
      <c r="J254" s="1">
        <v>0.0</v>
      </c>
      <c r="K254" s="1">
        <v>0.0</v>
      </c>
      <c r="L254" s="1">
        <v>0.0</v>
      </c>
      <c r="M254" s="1">
        <v>205.0</v>
      </c>
      <c r="N254" s="1">
        <v>898.0</v>
      </c>
      <c r="O254" s="1">
        <v>2133.0</v>
      </c>
      <c r="P254" s="4">
        <f t="shared" si="1"/>
        <v>5</v>
      </c>
      <c r="Q254" s="4" t="str">
        <f t="shared" si="2"/>
        <v>Friday</v>
      </c>
      <c r="R254" s="4">
        <f t="shared" si="3"/>
        <v>4.380000114</v>
      </c>
      <c r="S254" s="2">
        <f t="shared" si="4"/>
        <v>0</v>
      </c>
      <c r="T254" s="4" t="str">
        <f t="shared" si="5"/>
        <v>Low</v>
      </c>
    </row>
    <row r="255">
      <c r="A255" s="1">
        <v>4.445114986E9</v>
      </c>
      <c r="B255" s="3">
        <v>42462.0</v>
      </c>
      <c r="C255" s="1">
        <v>5406.0</v>
      </c>
      <c r="D255" s="1">
        <v>3.63000011444092</v>
      </c>
      <c r="E255" s="1">
        <v>3.63000011444092</v>
      </c>
      <c r="F255" s="1">
        <v>0.0</v>
      </c>
      <c r="G255" s="1">
        <v>0.0</v>
      </c>
      <c r="H255" s="1">
        <v>0.0</v>
      </c>
      <c r="I255" s="1">
        <v>3.60999989509583</v>
      </c>
      <c r="J255" s="1">
        <v>0.0</v>
      </c>
      <c r="K255" s="1">
        <v>0.0</v>
      </c>
      <c r="L255" s="1">
        <v>0.0</v>
      </c>
      <c r="M255" s="1">
        <v>273.0</v>
      </c>
      <c r="N255" s="1">
        <v>672.0</v>
      </c>
      <c r="O255" s="1">
        <v>2317.0</v>
      </c>
      <c r="P255" s="4">
        <f t="shared" si="1"/>
        <v>6</v>
      </c>
      <c r="Q255" s="4" t="str">
        <f t="shared" si="2"/>
        <v>Saturday</v>
      </c>
      <c r="R255" s="4">
        <f t="shared" si="3"/>
        <v>7.260000229</v>
      </c>
      <c r="S255" s="2">
        <f t="shared" si="4"/>
        <v>0</v>
      </c>
      <c r="T255" s="4" t="str">
        <f t="shared" si="5"/>
        <v>Low</v>
      </c>
    </row>
    <row r="256">
      <c r="A256" s="1">
        <v>4.445114986E9</v>
      </c>
      <c r="B256" s="3">
        <v>42463.0</v>
      </c>
      <c r="C256" s="1">
        <v>3146.0</v>
      </c>
      <c r="D256" s="1">
        <v>2.10999989509583</v>
      </c>
      <c r="E256" s="1">
        <v>2.10999989509583</v>
      </c>
      <c r="F256" s="1">
        <v>0.0</v>
      </c>
      <c r="G256" s="1">
        <v>0.0</v>
      </c>
      <c r="H256" s="1">
        <v>0.0</v>
      </c>
      <c r="I256" s="1">
        <v>2.10999989509583</v>
      </c>
      <c r="J256" s="1">
        <v>0.0</v>
      </c>
      <c r="K256" s="1">
        <v>0.0</v>
      </c>
      <c r="L256" s="1">
        <v>0.0</v>
      </c>
      <c r="M256" s="1">
        <v>171.0</v>
      </c>
      <c r="N256" s="1">
        <v>1269.0</v>
      </c>
      <c r="O256" s="1">
        <v>2058.0</v>
      </c>
      <c r="P256" s="4">
        <f t="shared" si="1"/>
        <v>7</v>
      </c>
      <c r="Q256" s="4" t="str">
        <f t="shared" si="2"/>
        <v>Sunday</v>
      </c>
      <c r="R256" s="4">
        <f t="shared" si="3"/>
        <v>4.21999979</v>
      </c>
      <c r="S256" s="2">
        <f t="shared" si="4"/>
        <v>0</v>
      </c>
      <c r="T256" s="4" t="str">
        <f t="shared" si="5"/>
        <v>Low</v>
      </c>
    </row>
    <row r="257">
      <c r="A257" s="1">
        <v>4.445114986E9</v>
      </c>
      <c r="B257" s="3">
        <v>42464.0</v>
      </c>
      <c r="C257" s="1">
        <v>2422.0</v>
      </c>
      <c r="D257" s="1">
        <v>1.62999999523163</v>
      </c>
      <c r="E257" s="1">
        <v>1.62999999523163</v>
      </c>
      <c r="F257" s="1">
        <v>0.0</v>
      </c>
      <c r="G257" s="1">
        <v>0.0</v>
      </c>
      <c r="H257" s="1">
        <v>0.0</v>
      </c>
      <c r="I257" s="1">
        <v>1.62999999523163</v>
      </c>
      <c r="J257" s="1">
        <v>0.0</v>
      </c>
      <c r="K257" s="1">
        <v>0.0</v>
      </c>
      <c r="L257" s="1">
        <v>0.0</v>
      </c>
      <c r="M257" s="1">
        <v>110.0</v>
      </c>
      <c r="N257" s="1">
        <v>1330.0</v>
      </c>
      <c r="O257" s="1">
        <v>1935.0</v>
      </c>
      <c r="P257" s="4">
        <f t="shared" si="1"/>
        <v>1</v>
      </c>
      <c r="Q257" s="4" t="str">
        <f t="shared" si="2"/>
        <v>Monday</v>
      </c>
      <c r="R257" s="4">
        <f t="shared" si="3"/>
        <v>3.25999999</v>
      </c>
      <c r="S257" s="2">
        <f t="shared" si="4"/>
        <v>0</v>
      </c>
      <c r="T257" s="4" t="str">
        <f t="shared" si="5"/>
        <v>Low</v>
      </c>
    </row>
    <row r="258">
      <c r="A258" s="1">
        <v>4.445114986E9</v>
      </c>
      <c r="B258" s="3">
        <v>42465.0</v>
      </c>
      <c r="C258" s="1">
        <v>4239.0</v>
      </c>
      <c r="D258" s="1">
        <v>2.83999991416931</v>
      </c>
      <c r="E258" s="1">
        <v>2.83999991416931</v>
      </c>
      <c r="F258" s="1">
        <v>0.0</v>
      </c>
      <c r="G258" s="1">
        <v>0.0599999986588955</v>
      </c>
      <c r="H258" s="1">
        <v>0.239999994635582</v>
      </c>
      <c r="I258" s="1">
        <v>2.52999997138977</v>
      </c>
      <c r="J258" s="1">
        <v>0.0</v>
      </c>
      <c r="K258" s="1">
        <v>1.0</v>
      </c>
      <c r="L258" s="1">
        <v>6.0</v>
      </c>
      <c r="M258" s="1">
        <v>235.0</v>
      </c>
      <c r="N258" s="1">
        <v>702.0</v>
      </c>
      <c r="O258" s="1">
        <v>2217.0</v>
      </c>
      <c r="P258" s="4">
        <f t="shared" si="1"/>
        <v>2</v>
      </c>
      <c r="Q258" s="4" t="str">
        <f t="shared" si="2"/>
        <v>Tuesday</v>
      </c>
      <c r="R258" s="4">
        <f t="shared" si="3"/>
        <v>5.679999828</v>
      </c>
      <c r="S258" s="2">
        <f t="shared" si="4"/>
        <v>0.007415254237</v>
      </c>
      <c r="T258" s="4" t="str">
        <f t="shared" si="5"/>
        <v>Low</v>
      </c>
    </row>
    <row r="259">
      <c r="A259" s="1">
        <v>4.445114986E9</v>
      </c>
      <c r="B259" s="3">
        <v>42466.0</v>
      </c>
      <c r="C259" s="1">
        <v>6911.0</v>
      </c>
      <c r="D259" s="1">
        <v>4.78000020980835</v>
      </c>
      <c r="E259" s="1">
        <v>4.78000020980835</v>
      </c>
      <c r="F259" s="1">
        <v>0.0</v>
      </c>
      <c r="G259" s="1">
        <v>2.3199999332428</v>
      </c>
      <c r="H259" s="1">
        <v>0.100000001490116</v>
      </c>
      <c r="I259" s="1">
        <v>2.35999989509583</v>
      </c>
      <c r="J259" s="1">
        <v>0.0</v>
      </c>
      <c r="K259" s="1">
        <v>28.0</v>
      </c>
      <c r="L259" s="1">
        <v>2.0</v>
      </c>
      <c r="M259" s="1">
        <v>215.0</v>
      </c>
      <c r="N259" s="1">
        <v>745.0</v>
      </c>
      <c r="O259" s="1">
        <v>2374.0</v>
      </c>
      <c r="P259" s="4">
        <f t="shared" si="1"/>
        <v>3</v>
      </c>
      <c r="Q259" s="4" t="str">
        <f t="shared" si="2"/>
        <v>Wednesday</v>
      </c>
      <c r="R259" s="4">
        <f t="shared" si="3"/>
        <v>9.56000042</v>
      </c>
      <c r="S259" s="2">
        <f t="shared" si="4"/>
        <v>0.0303030303</v>
      </c>
      <c r="T259" s="4" t="str">
        <f t="shared" si="5"/>
        <v>Moderate</v>
      </c>
    </row>
    <row r="260">
      <c r="A260" s="1">
        <v>4.445114986E9</v>
      </c>
      <c r="B260" s="3">
        <v>42467.0</v>
      </c>
      <c r="C260" s="1">
        <v>6667.0</v>
      </c>
      <c r="D260" s="1">
        <v>4.6100001335144</v>
      </c>
      <c r="E260" s="1">
        <v>4.6100001335144</v>
      </c>
      <c r="F260" s="1">
        <v>0.0</v>
      </c>
      <c r="G260" s="1">
        <v>2.01999998092651</v>
      </c>
      <c r="H260" s="1">
        <v>0.0500000007450581</v>
      </c>
      <c r="I260" s="1">
        <v>2.54999995231628</v>
      </c>
      <c r="J260" s="1">
        <v>0.0</v>
      </c>
      <c r="K260" s="1">
        <v>24.0</v>
      </c>
      <c r="L260" s="1">
        <v>1.0</v>
      </c>
      <c r="M260" s="1">
        <v>208.0</v>
      </c>
      <c r="N260" s="1">
        <v>939.0</v>
      </c>
      <c r="O260" s="1">
        <v>2335.0</v>
      </c>
      <c r="P260" s="4">
        <f t="shared" si="1"/>
        <v>4</v>
      </c>
      <c r="Q260" s="4" t="str">
        <f t="shared" si="2"/>
        <v>Thursday</v>
      </c>
      <c r="R260" s="4">
        <f t="shared" si="3"/>
        <v>9.220000267</v>
      </c>
      <c r="S260" s="2">
        <f t="shared" si="4"/>
        <v>0.02133105802</v>
      </c>
      <c r="T260" s="4" t="str">
        <f t="shared" si="5"/>
        <v>Moderate</v>
      </c>
    </row>
    <row r="261">
      <c r="A261" s="1">
        <v>4.445114986E9</v>
      </c>
      <c r="B261" s="3">
        <v>42468.0</v>
      </c>
      <c r="C261" s="1">
        <v>5543.0</v>
      </c>
      <c r="D261" s="1">
        <v>3.72000002861023</v>
      </c>
      <c r="E261" s="1">
        <v>3.72000002861023</v>
      </c>
      <c r="F261" s="1">
        <v>0.0</v>
      </c>
      <c r="G261" s="1">
        <v>0.0</v>
      </c>
      <c r="H261" s="1">
        <v>0.0</v>
      </c>
      <c r="I261" s="1">
        <v>3.72000002861023</v>
      </c>
      <c r="J261" s="1">
        <v>0.0</v>
      </c>
      <c r="K261" s="1">
        <v>0.0</v>
      </c>
      <c r="L261" s="1">
        <v>0.0</v>
      </c>
      <c r="M261" s="1">
        <v>266.0</v>
      </c>
      <c r="N261" s="1">
        <v>941.0</v>
      </c>
      <c r="O261" s="1">
        <v>2303.0</v>
      </c>
      <c r="P261" s="4">
        <f t="shared" si="1"/>
        <v>5</v>
      </c>
      <c r="Q261" s="4" t="str">
        <f t="shared" si="2"/>
        <v>Friday</v>
      </c>
      <c r="R261" s="4">
        <f t="shared" si="3"/>
        <v>7.440000057</v>
      </c>
      <c r="S261" s="2">
        <f t="shared" si="4"/>
        <v>0</v>
      </c>
      <c r="T261" s="4" t="str">
        <f t="shared" si="5"/>
        <v>Low</v>
      </c>
    </row>
    <row r="262">
      <c r="A262" s="1">
        <v>4.445114986E9</v>
      </c>
      <c r="B262" s="3">
        <v>42469.0</v>
      </c>
      <c r="C262" s="1">
        <v>4195.0</v>
      </c>
      <c r="D262" s="1">
        <v>2.80999994277954</v>
      </c>
      <c r="E262" s="1">
        <v>2.80999994277954</v>
      </c>
      <c r="F262" s="1">
        <v>0.0</v>
      </c>
      <c r="G262" s="1">
        <v>0.0</v>
      </c>
      <c r="H262" s="1">
        <v>0.0</v>
      </c>
      <c r="I262" s="1">
        <v>2.80999994277954</v>
      </c>
      <c r="J262" s="1">
        <v>0.0</v>
      </c>
      <c r="K262" s="1">
        <v>0.0</v>
      </c>
      <c r="L262" s="1">
        <v>0.0</v>
      </c>
      <c r="M262" s="1">
        <v>239.0</v>
      </c>
      <c r="N262" s="1">
        <v>758.0</v>
      </c>
      <c r="O262" s="1">
        <v>2210.0</v>
      </c>
      <c r="P262" s="4">
        <f t="shared" si="1"/>
        <v>6</v>
      </c>
      <c r="Q262" s="4" t="str">
        <f t="shared" si="2"/>
        <v>Saturday</v>
      </c>
      <c r="R262" s="4">
        <f t="shared" si="3"/>
        <v>5.619999886</v>
      </c>
      <c r="S262" s="2">
        <f t="shared" si="4"/>
        <v>0</v>
      </c>
      <c r="T262" s="4" t="str">
        <f t="shared" si="5"/>
        <v>Low</v>
      </c>
    </row>
    <row r="263">
      <c r="A263" s="1">
        <v>4.445114986E9</v>
      </c>
      <c r="B263" s="3">
        <v>42470.0</v>
      </c>
      <c r="C263" s="1">
        <v>6625.0</v>
      </c>
      <c r="D263" s="1">
        <v>4.44999980926514</v>
      </c>
      <c r="E263" s="1">
        <v>4.44999980926514</v>
      </c>
      <c r="F263" s="1">
        <v>0.0</v>
      </c>
      <c r="G263" s="1">
        <v>0.0</v>
      </c>
      <c r="H263" s="1">
        <v>0.0</v>
      </c>
      <c r="I263" s="1">
        <v>4.44999980926514</v>
      </c>
      <c r="J263" s="1">
        <v>0.0</v>
      </c>
      <c r="K263" s="1">
        <v>0.0</v>
      </c>
      <c r="L263" s="1">
        <v>0.0</v>
      </c>
      <c r="M263" s="1">
        <v>316.0</v>
      </c>
      <c r="N263" s="1">
        <v>755.0</v>
      </c>
      <c r="O263" s="1">
        <v>2424.0</v>
      </c>
      <c r="P263" s="4">
        <f t="shared" si="1"/>
        <v>7</v>
      </c>
      <c r="Q263" s="4" t="str">
        <f t="shared" si="2"/>
        <v>Sunday</v>
      </c>
      <c r="R263" s="4">
        <f t="shared" si="3"/>
        <v>8.899999619</v>
      </c>
      <c r="S263" s="2">
        <f t="shared" si="4"/>
        <v>0</v>
      </c>
      <c r="T263" s="4" t="str">
        <f t="shared" si="5"/>
        <v>Low</v>
      </c>
    </row>
    <row r="264">
      <c r="A264" s="1">
        <v>4.445114986E9</v>
      </c>
      <c r="B264" s="3">
        <v>42471.0</v>
      </c>
      <c r="C264" s="1">
        <v>5986.0</v>
      </c>
      <c r="D264" s="1">
        <v>4.13000011444092</v>
      </c>
      <c r="E264" s="1">
        <v>4.13000011444092</v>
      </c>
      <c r="F264" s="1">
        <v>0.0</v>
      </c>
      <c r="G264" s="1">
        <v>1.95000004768372</v>
      </c>
      <c r="H264" s="1">
        <v>0.230000004172325</v>
      </c>
      <c r="I264" s="1">
        <v>1.95000004768372</v>
      </c>
      <c r="J264" s="1">
        <v>0.0</v>
      </c>
      <c r="K264" s="1">
        <v>23.0</v>
      </c>
      <c r="L264" s="1">
        <v>5.0</v>
      </c>
      <c r="M264" s="1">
        <v>195.0</v>
      </c>
      <c r="N264" s="1">
        <v>789.0</v>
      </c>
      <c r="O264" s="1">
        <v>2297.0</v>
      </c>
      <c r="P264" s="4">
        <f t="shared" si="1"/>
        <v>1</v>
      </c>
      <c r="Q264" s="4" t="str">
        <f t="shared" si="2"/>
        <v>Monday</v>
      </c>
      <c r="R264" s="4">
        <f t="shared" si="3"/>
        <v>8.260000229</v>
      </c>
      <c r="S264" s="2">
        <f t="shared" si="4"/>
        <v>0.02766798419</v>
      </c>
      <c r="T264" s="4" t="str">
        <f t="shared" si="5"/>
        <v>Moderate</v>
      </c>
    </row>
    <row r="265">
      <c r="A265" s="1">
        <v>4.445114986E9</v>
      </c>
      <c r="B265" s="3">
        <v>42472.0</v>
      </c>
      <c r="C265" s="1">
        <v>278.0</v>
      </c>
      <c r="D265" s="1">
        <v>0.189999997615814</v>
      </c>
      <c r="E265" s="1">
        <v>0.189999997615814</v>
      </c>
      <c r="F265" s="1">
        <v>0.0</v>
      </c>
      <c r="G265" s="1">
        <v>0.0</v>
      </c>
      <c r="H265" s="1">
        <v>0.0</v>
      </c>
      <c r="I265" s="1">
        <v>0.189999997615814</v>
      </c>
      <c r="J265" s="1">
        <v>0.0</v>
      </c>
      <c r="K265" s="1">
        <v>0.0</v>
      </c>
      <c r="L265" s="1">
        <v>0.0</v>
      </c>
      <c r="M265" s="1">
        <v>20.0</v>
      </c>
      <c r="N265" s="1">
        <v>253.0</v>
      </c>
      <c r="O265" s="1">
        <v>745.0</v>
      </c>
      <c r="P265" s="4">
        <f t="shared" si="1"/>
        <v>2</v>
      </c>
      <c r="Q265" s="4" t="str">
        <f t="shared" si="2"/>
        <v>Tuesday</v>
      </c>
      <c r="R265" s="4">
        <f t="shared" si="3"/>
        <v>0.3799999952</v>
      </c>
      <c r="S265" s="2">
        <f t="shared" si="4"/>
        <v>0</v>
      </c>
      <c r="T265" s="4" t="str">
        <f t="shared" si="5"/>
        <v>Low</v>
      </c>
    </row>
    <row r="266">
      <c r="A266" s="1">
        <v>4.558609924E9</v>
      </c>
      <c r="B266" s="3">
        <v>42461.0</v>
      </c>
      <c r="C266" s="1">
        <v>5336.0</v>
      </c>
      <c r="D266" s="1">
        <v>3.52999997138977</v>
      </c>
      <c r="E266" s="1">
        <v>3.52999997138977</v>
      </c>
      <c r="F266" s="1">
        <v>0.0</v>
      </c>
      <c r="G266" s="1">
        <v>0.0</v>
      </c>
      <c r="H266" s="1">
        <v>0.0</v>
      </c>
      <c r="I266" s="1">
        <v>3.52999997138977</v>
      </c>
      <c r="J266" s="1">
        <v>0.0</v>
      </c>
      <c r="K266" s="1">
        <v>0.0</v>
      </c>
      <c r="L266" s="1">
        <v>0.0</v>
      </c>
      <c r="M266" s="1">
        <v>258.0</v>
      </c>
      <c r="N266" s="1">
        <v>1182.0</v>
      </c>
      <c r="O266" s="1">
        <v>1902.0</v>
      </c>
      <c r="P266" s="4">
        <f t="shared" si="1"/>
        <v>5</v>
      </c>
      <c r="Q266" s="4" t="str">
        <f t="shared" si="2"/>
        <v>Friday</v>
      </c>
      <c r="R266" s="4">
        <f t="shared" si="3"/>
        <v>7.059999943</v>
      </c>
      <c r="S266" s="2">
        <f t="shared" si="4"/>
        <v>0</v>
      </c>
      <c r="T266" s="4" t="str">
        <f t="shared" si="5"/>
        <v>Low</v>
      </c>
    </row>
    <row r="267">
      <c r="A267" s="1">
        <v>4.558609924E9</v>
      </c>
      <c r="B267" s="3">
        <v>42462.0</v>
      </c>
      <c r="C267" s="1">
        <v>3183.0</v>
      </c>
      <c r="D267" s="1">
        <v>2.09999990463257</v>
      </c>
      <c r="E267" s="1">
        <v>2.09999990463257</v>
      </c>
      <c r="F267" s="1">
        <v>0.0</v>
      </c>
      <c r="G267" s="1">
        <v>0.0</v>
      </c>
      <c r="H267" s="1">
        <v>0.0</v>
      </c>
      <c r="I267" s="1">
        <v>2.09999990463257</v>
      </c>
      <c r="J267" s="1">
        <v>0.0</v>
      </c>
      <c r="K267" s="1">
        <v>0.0</v>
      </c>
      <c r="L267" s="1">
        <v>0.0</v>
      </c>
      <c r="M267" s="1">
        <v>173.0</v>
      </c>
      <c r="N267" s="1">
        <v>1180.0</v>
      </c>
      <c r="O267" s="1">
        <v>1680.0</v>
      </c>
      <c r="P267" s="4">
        <f t="shared" si="1"/>
        <v>6</v>
      </c>
      <c r="Q267" s="4" t="str">
        <f t="shared" si="2"/>
        <v>Saturday</v>
      </c>
      <c r="R267" s="4">
        <f t="shared" si="3"/>
        <v>4.199999809</v>
      </c>
      <c r="S267" s="2">
        <f t="shared" si="4"/>
        <v>0</v>
      </c>
      <c r="T267" s="4" t="str">
        <f t="shared" si="5"/>
        <v>Low</v>
      </c>
    </row>
    <row r="268">
      <c r="A268" s="1">
        <v>4.558609924E9</v>
      </c>
      <c r="B268" s="3">
        <v>42463.0</v>
      </c>
      <c r="C268" s="1">
        <v>6176.0</v>
      </c>
      <c r="D268" s="1">
        <v>4.07999992370605</v>
      </c>
      <c r="E268" s="1">
        <v>4.07999992370605</v>
      </c>
      <c r="F268" s="1">
        <v>0.0</v>
      </c>
      <c r="G268" s="1">
        <v>0.0700000002980232</v>
      </c>
      <c r="H268" s="1">
        <v>0.259999990463257</v>
      </c>
      <c r="I268" s="1">
        <v>3.75</v>
      </c>
      <c r="J268" s="1">
        <v>0.0</v>
      </c>
      <c r="K268" s="1">
        <v>1.0</v>
      </c>
      <c r="L268" s="1">
        <v>7.0</v>
      </c>
      <c r="M268" s="1">
        <v>269.0</v>
      </c>
      <c r="N268" s="1">
        <v>886.0</v>
      </c>
      <c r="O268" s="1">
        <v>1901.0</v>
      </c>
      <c r="P268" s="4">
        <f t="shared" si="1"/>
        <v>7</v>
      </c>
      <c r="Q268" s="4" t="str">
        <f t="shared" si="2"/>
        <v>Sunday</v>
      </c>
      <c r="R268" s="4">
        <f t="shared" si="3"/>
        <v>8.159999847</v>
      </c>
      <c r="S268" s="2">
        <f t="shared" si="4"/>
        <v>0.006878761823</v>
      </c>
      <c r="T268" s="4" t="str">
        <f t="shared" si="5"/>
        <v>Low</v>
      </c>
    </row>
    <row r="269">
      <c r="A269" s="1">
        <v>4.558609924E9</v>
      </c>
      <c r="B269" s="3">
        <v>42464.0</v>
      </c>
      <c r="C269" s="1">
        <v>8205.0</v>
      </c>
      <c r="D269" s="1">
        <v>5.42000007629395</v>
      </c>
      <c r="E269" s="1">
        <v>5.42000007629395</v>
      </c>
      <c r="F269" s="1">
        <v>0.0</v>
      </c>
      <c r="G269" s="1">
        <v>0.0</v>
      </c>
      <c r="H269" s="1">
        <v>0.0</v>
      </c>
      <c r="I269" s="1">
        <v>5.42000007629395</v>
      </c>
      <c r="J269" s="1">
        <v>0.0</v>
      </c>
      <c r="K269" s="1">
        <v>0.0</v>
      </c>
      <c r="L269" s="1">
        <v>0.0</v>
      </c>
      <c r="M269" s="1">
        <v>367.0</v>
      </c>
      <c r="N269" s="1">
        <v>1073.0</v>
      </c>
      <c r="O269" s="1">
        <v>2078.0</v>
      </c>
      <c r="P269" s="4">
        <f t="shared" si="1"/>
        <v>1</v>
      </c>
      <c r="Q269" s="4" t="str">
        <f t="shared" si="2"/>
        <v>Monday</v>
      </c>
      <c r="R269" s="4">
        <f t="shared" si="3"/>
        <v>10.84000015</v>
      </c>
      <c r="S269" s="2">
        <f t="shared" si="4"/>
        <v>0</v>
      </c>
      <c r="T269" s="4" t="str">
        <f t="shared" si="5"/>
        <v>Low</v>
      </c>
    </row>
    <row r="270">
      <c r="A270" s="1">
        <v>4.558609924E9</v>
      </c>
      <c r="B270" s="3">
        <v>42465.0</v>
      </c>
      <c r="C270" s="1">
        <v>6799.0</v>
      </c>
      <c r="D270" s="1">
        <v>4.48999977111816</v>
      </c>
      <c r="E270" s="1">
        <v>4.48999977111816</v>
      </c>
      <c r="F270" s="1">
        <v>0.0</v>
      </c>
      <c r="G270" s="1">
        <v>1.5900000333786</v>
      </c>
      <c r="H270" s="1">
        <v>0.860000014305115</v>
      </c>
      <c r="I270" s="1">
        <v>2.03999996185303</v>
      </c>
      <c r="J270" s="1">
        <v>0.0</v>
      </c>
      <c r="K270" s="1">
        <v>24.0</v>
      </c>
      <c r="L270" s="1">
        <v>14.0</v>
      </c>
      <c r="M270" s="1">
        <v>185.0</v>
      </c>
      <c r="N270" s="1">
        <v>1217.0</v>
      </c>
      <c r="O270" s="1">
        <v>1876.0</v>
      </c>
      <c r="P270" s="4">
        <f t="shared" si="1"/>
        <v>2</v>
      </c>
      <c r="Q270" s="4" t="str">
        <f t="shared" si="2"/>
        <v>Tuesday</v>
      </c>
      <c r="R270" s="4">
        <f t="shared" si="3"/>
        <v>8.979999542</v>
      </c>
      <c r="S270" s="2">
        <f t="shared" si="4"/>
        <v>0.02638888889</v>
      </c>
      <c r="T270" s="4" t="str">
        <f t="shared" si="5"/>
        <v>Moderate</v>
      </c>
    </row>
    <row r="271">
      <c r="A271" s="1">
        <v>4.558609924E9</v>
      </c>
      <c r="B271" s="3">
        <v>42466.0</v>
      </c>
      <c r="C271" s="1">
        <v>5668.0</v>
      </c>
      <c r="D271" s="1">
        <v>3.75</v>
      </c>
      <c r="E271" s="1">
        <v>3.75</v>
      </c>
      <c r="F271" s="1">
        <v>0.0</v>
      </c>
      <c r="G271" s="1">
        <v>0.0</v>
      </c>
      <c r="H271" s="1">
        <v>0.0</v>
      </c>
      <c r="I271" s="1">
        <v>3.75</v>
      </c>
      <c r="J271" s="1">
        <v>0.0</v>
      </c>
      <c r="K271" s="1">
        <v>0.0</v>
      </c>
      <c r="L271" s="1">
        <v>0.0</v>
      </c>
      <c r="M271" s="1">
        <v>259.0</v>
      </c>
      <c r="N271" s="1">
        <v>1181.0</v>
      </c>
      <c r="O271" s="1">
        <v>1853.0</v>
      </c>
      <c r="P271" s="4">
        <f t="shared" si="1"/>
        <v>3</v>
      </c>
      <c r="Q271" s="4" t="str">
        <f t="shared" si="2"/>
        <v>Wednesday</v>
      </c>
      <c r="R271" s="4">
        <f t="shared" si="3"/>
        <v>7.5</v>
      </c>
      <c r="S271" s="2">
        <f t="shared" si="4"/>
        <v>0</v>
      </c>
      <c r="T271" s="4" t="str">
        <f t="shared" si="5"/>
        <v>Low</v>
      </c>
    </row>
    <row r="272">
      <c r="A272" s="1">
        <v>4.558609924E9</v>
      </c>
      <c r="B272" s="3">
        <v>42467.0</v>
      </c>
      <c r="C272" s="1">
        <v>7998.0</v>
      </c>
      <c r="D272" s="1">
        <v>5.28999996185303</v>
      </c>
      <c r="E272" s="1">
        <v>5.28999996185303</v>
      </c>
      <c r="F272" s="1">
        <v>0.0</v>
      </c>
      <c r="G272" s="1">
        <v>0.509999990463257</v>
      </c>
      <c r="H272" s="1">
        <v>0.25</v>
      </c>
      <c r="I272" s="1">
        <v>4.53000020980835</v>
      </c>
      <c r="J272" s="1">
        <v>0.0</v>
      </c>
      <c r="K272" s="1">
        <v>27.0</v>
      </c>
      <c r="L272" s="1">
        <v>12.0</v>
      </c>
      <c r="M272" s="1">
        <v>296.0</v>
      </c>
      <c r="N272" s="1">
        <v>1105.0</v>
      </c>
      <c r="O272" s="1">
        <v>2235.0</v>
      </c>
      <c r="P272" s="4">
        <f t="shared" si="1"/>
        <v>4</v>
      </c>
      <c r="Q272" s="4" t="str">
        <f t="shared" si="2"/>
        <v>Thursday</v>
      </c>
      <c r="R272" s="4">
        <f t="shared" si="3"/>
        <v>10.57999992</v>
      </c>
      <c r="S272" s="2">
        <f t="shared" si="4"/>
        <v>0.02708333333</v>
      </c>
      <c r="T272" s="4" t="str">
        <f t="shared" si="5"/>
        <v>Moderate</v>
      </c>
    </row>
    <row r="273">
      <c r="A273" s="1">
        <v>4.558609924E9</v>
      </c>
      <c r="B273" s="3">
        <v>42468.0</v>
      </c>
      <c r="C273" s="1">
        <v>4195.0</v>
      </c>
      <c r="D273" s="1">
        <v>2.76999998092651</v>
      </c>
      <c r="E273" s="1">
        <v>2.76999998092651</v>
      </c>
      <c r="F273" s="1">
        <v>0.0</v>
      </c>
      <c r="G273" s="1">
        <v>0.0</v>
      </c>
      <c r="H273" s="1">
        <v>0.0</v>
      </c>
      <c r="I273" s="1">
        <v>2.76999998092651</v>
      </c>
      <c r="J273" s="1">
        <v>0.0</v>
      </c>
      <c r="K273" s="1">
        <v>0.0</v>
      </c>
      <c r="L273" s="1">
        <v>0.0</v>
      </c>
      <c r="M273" s="1">
        <v>241.0</v>
      </c>
      <c r="N273" s="1">
        <v>1199.0</v>
      </c>
      <c r="O273" s="1">
        <v>1778.0</v>
      </c>
      <c r="P273" s="4">
        <f t="shared" si="1"/>
        <v>5</v>
      </c>
      <c r="Q273" s="4" t="str">
        <f t="shared" si="2"/>
        <v>Friday</v>
      </c>
      <c r="R273" s="4">
        <f t="shared" si="3"/>
        <v>5.539999962</v>
      </c>
      <c r="S273" s="2">
        <f t="shared" si="4"/>
        <v>0</v>
      </c>
      <c r="T273" s="4" t="str">
        <f t="shared" si="5"/>
        <v>Low</v>
      </c>
    </row>
    <row r="274">
      <c r="A274" s="1">
        <v>4.558609924E9</v>
      </c>
      <c r="B274" s="3">
        <v>42469.0</v>
      </c>
      <c r="C274" s="1">
        <v>5512.0</v>
      </c>
      <c r="D274" s="1">
        <v>3.64000010490417</v>
      </c>
      <c r="E274" s="1">
        <v>3.64000010490417</v>
      </c>
      <c r="F274" s="1">
        <v>0.0</v>
      </c>
      <c r="G274" s="1">
        <v>0.0</v>
      </c>
      <c r="H274" s="1">
        <v>0.0</v>
      </c>
      <c r="I274" s="1">
        <v>3.64000010490417</v>
      </c>
      <c r="J274" s="1">
        <v>0.0</v>
      </c>
      <c r="K274" s="1">
        <v>0.0</v>
      </c>
      <c r="L274" s="1">
        <v>0.0</v>
      </c>
      <c r="M274" s="1">
        <v>276.0</v>
      </c>
      <c r="N274" s="1">
        <v>1164.0</v>
      </c>
      <c r="O274" s="1">
        <v>1882.0</v>
      </c>
      <c r="P274" s="4">
        <f t="shared" si="1"/>
        <v>6</v>
      </c>
      <c r="Q274" s="4" t="str">
        <f t="shared" si="2"/>
        <v>Saturday</v>
      </c>
      <c r="R274" s="4">
        <f t="shared" si="3"/>
        <v>7.28000021</v>
      </c>
      <c r="S274" s="2">
        <f t="shared" si="4"/>
        <v>0</v>
      </c>
      <c r="T274" s="4" t="str">
        <f t="shared" si="5"/>
        <v>Low</v>
      </c>
    </row>
    <row r="275">
      <c r="A275" s="1">
        <v>4.558609924E9</v>
      </c>
      <c r="B275" s="3">
        <v>42470.0</v>
      </c>
      <c r="C275" s="1">
        <v>6263.0</v>
      </c>
      <c r="D275" s="1">
        <v>4.1399998664856</v>
      </c>
      <c r="E275" s="1">
        <v>4.1399998664856</v>
      </c>
      <c r="F275" s="1">
        <v>0.0</v>
      </c>
      <c r="G275" s="1">
        <v>0.0</v>
      </c>
      <c r="H275" s="1">
        <v>0.0</v>
      </c>
      <c r="I275" s="1">
        <v>4.13000011444092</v>
      </c>
      <c r="J275" s="1">
        <v>0.0</v>
      </c>
      <c r="K275" s="1">
        <v>0.0</v>
      </c>
      <c r="L275" s="1">
        <v>0.0</v>
      </c>
      <c r="M275" s="1">
        <v>290.0</v>
      </c>
      <c r="N275" s="1">
        <v>1150.0</v>
      </c>
      <c r="O275" s="1">
        <v>1906.0</v>
      </c>
      <c r="P275" s="4">
        <f t="shared" si="1"/>
        <v>7</v>
      </c>
      <c r="Q275" s="4" t="str">
        <f t="shared" si="2"/>
        <v>Sunday</v>
      </c>
      <c r="R275" s="4">
        <f t="shared" si="3"/>
        <v>8.279999733</v>
      </c>
      <c r="S275" s="2">
        <f t="shared" si="4"/>
        <v>0</v>
      </c>
      <c r="T275" s="4" t="str">
        <f t="shared" si="5"/>
        <v>Low</v>
      </c>
    </row>
    <row r="276">
      <c r="A276" s="1">
        <v>4.558609924E9</v>
      </c>
      <c r="B276" s="3">
        <v>42471.0</v>
      </c>
      <c r="C276" s="1">
        <v>8828.0</v>
      </c>
      <c r="D276" s="1">
        <v>5.84000015258789</v>
      </c>
      <c r="E276" s="1">
        <v>5.84000015258789</v>
      </c>
      <c r="F276" s="1">
        <v>0.0</v>
      </c>
      <c r="G276" s="1">
        <v>0.0</v>
      </c>
      <c r="H276" s="1">
        <v>0.0</v>
      </c>
      <c r="I276" s="1">
        <v>5.84000015258789</v>
      </c>
      <c r="J276" s="1">
        <v>0.0</v>
      </c>
      <c r="K276" s="1">
        <v>0.0</v>
      </c>
      <c r="L276" s="1">
        <v>0.0</v>
      </c>
      <c r="M276" s="1">
        <v>308.0</v>
      </c>
      <c r="N276" s="1">
        <v>1132.0</v>
      </c>
      <c r="O276" s="1">
        <v>2149.0</v>
      </c>
      <c r="P276" s="4">
        <f t="shared" si="1"/>
        <v>1</v>
      </c>
      <c r="Q276" s="4" t="str">
        <f t="shared" si="2"/>
        <v>Monday</v>
      </c>
      <c r="R276" s="4">
        <f t="shared" si="3"/>
        <v>11.68000031</v>
      </c>
      <c r="S276" s="2">
        <f t="shared" si="4"/>
        <v>0</v>
      </c>
      <c r="T276" s="4" t="str">
        <f t="shared" si="5"/>
        <v>Low</v>
      </c>
    </row>
    <row r="277">
      <c r="A277" s="1">
        <v>4.558609924E9</v>
      </c>
      <c r="B277" s="3">
        <v>42472.0</v>
      </c>
      <c r="C277" s="1">
        <v>1260.0</v>
      </c>
      <c r="D277" s="1">
        <v>0.829999983310699</v>
      </c>
      <c r="E277" s="1">
        <v>0.829999983310699</v>
      </c>
      <c r="F277" s="1">
        <v>0.0</v>
      </c>
      <c r="G277" s="1">
        <v>0.0</v>
      </c>
      <c r="H277" s="1">
        <v>0.0</v>
      </c>
      <c r="I277" s="1">
        <v>0.819999992847443</v>
      </c>
      <c r="J277" s="1">
        <v>0.0</v>
      </c>
      <c r="K277" s="1">
        <v>0.0</v>
      </c>
      <c r="L277" s="1">
        <v>0.0</v>
      </c>
      <c r="M277" s="1">
        <v>76.0</v>
      </c>
      <c r="N277" s="1">
        <v>555.0</v>
      </c>
      <c r="O277" s="1">
        <v>722.0</v>
      </c>
      <c r="P277" s="4">
        <f t="shared" si="1"/>
        <v>2</v>
      </c>
      <c r="Q277" s="4" t="str">
        <f t="shared" si="2"/>
        <v>Tuesday</v>
      </c>
      <c r="R277" s="4">
        <f t="shared" si="3"/>
        <v>1.659999967</v>
      </c>
      <c r="S277" s="2">
        <f t="shared" si="4"/>
        <v>0</v>
      </c>
      <c r="T277" s="4" t="str">
        <f t="shared" si="5"/>
        <v>Low</v>
      </c>
    </row>
    <row r="278">
      <c r="A278" s="1">
        <v>4.702921684E9</v>
      </c>
      <c r="B278" s="3">
        <v>42458.0</v>
      </c>
      <c r="C278" s="1">
        <v>6506.0</v>
      </c>
      <c r="D278" s="1">
        <v>5.28000020980835</v>
      </c>
      <c r="E278" s="1">
        <v>5.28000020980835</v>
      </c>
      <c r="F278" s="1">
        <v>0.0</v>
      </c>
      <c r="G278" s="1">
        <v>0.330000013113022</v>
      </c>
      <c r="H278" s="1">
        <v>0.270000010728836</v>
      </c>
      <c r="I278" s="1">
        <v>4.67000007629395</v>
      </c>
      <c r="J278" s="1">
        <v>0.0</v>
      </c>
      <c r="K278" s="1">
        <v>4.0</v>
      </c>
      <c r="L278" s="1">
        <v>5.0</v>
      </c>
      <c r="M278" s="1">
        <v>241.0</v>
      </c>
      <c r="N278" s="1">
        <v>760.0</v>
      </c>
      <c r="O278" s="1">
        <v>2886.0</v>
      </c>
      <c r="P278" s="4">
        <f t="shared" si="1"/>
        <v>2</v>
      </c>
      <c r="Q278" s="4" t="str">
        <f t="shared" si="2"/>
        <v>Tuesday</v>
      </c>
      <c r="R278" s="4">
        <f t="shared" si="3"/>
        <v>10.56000042</v>
      </c>
      <c r="S278" s="2">
        <f t="shared" si="4"/>
        <v>0.008910891089</v>
      </c>
      <c r="T278" s="4" t="str">
        <f t="shared" si="5"/>
        <v>Low</v>
      </c>
    </row>
    <row r="279">
      <c r="A279" s="1">
        <v>4.702921684E9</v>
      </c>
      <c r="B279" s="3">
        <v>42459.0</v>
      </c>
      <c r="C279" s="1">
        <v>7583.0</v>
      </c>
      <c r="D279" s="1">
        <v>6.15000009536743</v>
      </c>
      <c r="E279" s="1">
        <v>6.15000009536743</v>
      </c>
      <c r="F279" s="1">
        <v>0.0</v>
      </c>
      <c r="G279" s="1">
        <v>0.25</v>
      </c>
      <c r="H279" s="1">
        <v>0.550000011920929</v>
      </c>
      <c r="I279" s="1">
        <v>5.34999990463257</v>
      </c>
      <c r="J279" s="1">
        <v>0.0</v>
      </c>
      <c r="K279" s="1">
        <v>3.0</v>
      </c>
      <c r="L279" s="1">
        <v>13.0</v>
      </c>
      <c r="M279" s="1">
        <v>227.0</v>
      </c>
      <c r="N279" s="1">
        <v>742.0</v>
      </c>
      <c r="O279" s="1">
        <v>2915.0</v>
      </c>
      <c r="P279" s="4">
        <f t="shared" si="1"/>
        <v>3</v>
      </c>
      <c r="Q279" s="4" t="str">
        <f t="shared" si="2"/>
        <v>Wednesday</v>
      </c>
      <c r="R279" s="4">
        <f t="shared" si="3"/>
        <v>12.30000019</v>
      </c>
      <c r="S279" s="2">
        <f t="shared" si="4"/>
        <v>0.01624365482</v>
      </c>
      <c r="T279" s="4" t="str">
        <f t="shared" si="5"/>
        <v>Low</v>
      </c>
    </row>
    <row r="280">
      <c r="A280" s="1">
        <v>4.702921684E9</v>
      </c>
      <c r="B280" s="3">
        <v>42460.0</v>
      </c>
      <c r="C280" s="1">
        <v>6963.0</v>
      </c>
      <c r="D280" s="1">
        <v>5.65000009536743</v>
      </c>
      <c r="E280" s="1">
        <v>5.65000009536743</v>
      </c>
      <c r="F280" s="1">
        <v>0.0</v>
      </c>
      <c r="G280" s="1">
        <v>0.0</v>
      </c>
      <c r="H280" s="1">
        <v>0.0</v>
      </c>
      <c r="I280" s="1">
        <v>5.65000009536743</v>
      </c>
      <c r="J280" s="1">
        <v>0.0</v>
      </c>
      <c r="K280" s="1">
        <v>0.0</v>
      </c>
      <c r="L280" s="1">
        <v>0.0</v>
      </c>
      <c r="M280" s="1">
        <v>256.0</v>
      </c>
      <c r="N280" s="1">
        <v>759.0</v>
      </c>
      <c r="O280" s="1">
        <v>2895.0</v>
      </c>
      <c r="P280" s="4">
        <f t="shared" si="1"/>
        <v>4</v>
      </c>
      <c r="Q280" s="4" t="str">
        <f t="shared" si="2"/>
        <v>Thursday</v>
      </c>
      <c r="R280" s="4">
        <f t="shared" si="3"/>
        <v>11.30000019</v>
      </c>
      <c r="S280" s="2">
        <f t="shared" si="4"/>
        <v>0</v>
      </c>
      <c r="T280" s="4" t="str">
        <f t="shared" si="5"/>
        <v>Low</v>
      </c>
    </row>
    <row r="281">
      <c r="A281" s="1">
        <v>4.702921684E9</v>
      </c>
      <c r="B281" s="3">
        <v>42461.0</v>
      </c>
      <c r="C281" s="1">
        <v>7165.0</v>
      </c>
      <c r="D281" s="1">
        <v>5.80999994277954</v>
      </c>
      <c r="E281" s="1">
        <v>5.80999994277954</v>
      </c>
      <c r="F281" s="1">
        <v>0.0</v>
      </c>
      <c r="G281" s="1">
        <v>0.0</v>
      </c>
      <c r="H281" s="1">
        <v>0.370000004768372</v>
      </c>
      <c r="I281" s="1">
        <v>5.44000005722046</v>
      </c>
      <c r="J281" s="1">
        <v>0.0</v>
      </c>
      <c r="K281" s="1">
        <v>0.0</v>
      </c>
      <c r="L281" s="1">
        <v>9.0</v>
      </c>
      <c r="M281" s="1">
        <v>248.0</v>
      </c>
      <c r="N281" s="1">
        <v>708.0</v>
      </c>
      <c r="O281" s="1">
        <v>2923.0</v>
      </c>
      <c r="P281" s="4">
        <f t="shared" si="1"/>
        <v>5</v>
      </c>
      <c r="Q281" s="4" t="str">
        <f t="shared" si="2"/>
        <v>Friday</v>
      </c>
      <c r="R281" s="4">
        <f t="shared" si="3"/>
        <v>11.61999989</v>
      </c>
      <c r="S281" s="2">
        <f t="shared" si="4"/>
        <v>0.00932642487</v>
      </c>
      <c r="T281" s="4" t="str">
        <f t="shared" si="5"/>
        <v>Low</v>
      </c>
    </row>
    <row r="282">
      <c r="A282" s="1">
        <v>4.702921684E9</v>
      </c>
      <c r="B282" s="3">
        <v>42462.0</v>
      </c>
      <c r="C282" s="1">
        <v>10328.0</v>
      </c>
      <c r="D282" s="1">
        <v>8.38000011444092</v>
      </c>
      <c r="E282" s="1">
        <v>8.38000011444092</v>
      </c>
      <c r="F282" s="1">
        <v>0.0</v>
      </c>
      <c r="G282" s="1">
        <v>0.0</v>
      </c>
      <c r="H282" s="1">
        <v>1.46000003814697</v>
      </c>
      <c r="I282" s="1">
        <v>6.92000007629395</v>
      </c>
      <c r="J282" s="1">
        <v>0.0</v>
      </c>
      <c r="K282" s="1">
        <v>0.0</v>
      </c>
      <c r="L282" s="1">
        <v>32.0</v>
      </c>
      <c r="M282" s="1">
        <v>367.0</v>
      </c>
      <c r="N282" s="1">
        <v>475.0</v>
      </c>
      <c r="O282" s="1">
        <v>3323.0</v>
      </c>
      <c r="P282" s="4">
        <f t="shared" si="1"/>
        <v>6</v>
      </c>
      <c r="Q282" s="4" t="str">
        <f t="shared" si="2"/>
        <v>Saturday</v>
      </c>
      <c r="R282" s="4">
        <f t="shared" si="3"/>
        <v>16.76000023</v>
      </c>
      <c r="S282" s="2">
        <f t="shared" si="4"/>
        <v>0.03661327231</v>
      </c>
      <c r="T282" s="4" t="str">
        <f t="shared" si="5"/>
        <v>Low</v>
      </c>
    </row>
    <row r="283">
      <c r="A283" s="1">
        <v>4.702921684E9</v>
      </c>
      <c r="B283" s="3">
        <v>42463.0</v>
      </c>
      <c r="C283" s="1">
        <v>12116.0</v>
      </c>
      <c r="D283" s="1">
        <v>9.82999992370605</v>
      </c>
      <c r="E283" s="1">
        <v>9.82999992370605</v>
      </c>
      <c r="F283" s="1">
        <v>0.0</v>
      </c>
      <c r="G283" s="1">
        <v>0.25</v>
      </c>
      <c r="H283" s="1">
        <v>2.84999990463257</v>
      </c>
      <c r="I283" s="1">
        <v>6.71999979019165</v>
      </c>
      <c r="J283" s="1">
        <v>0.0</v>
      </c>
      <c r="K283" s="1">
        <v>3.0</v>
      </c>
      <c r="L283" s="1">
        <v>57.0</v>
      </c>
      <c r="M283" s="1">
        <v>323.0</v>
      </c>
      <c r="N283" s="1">
        <v>471.0</v>
      </c>
      <c r="O283" s="1">
        <v>3357.0</v>
      </c>
      <c r="P283" s="4">
        <f t="shared" si="1"/>
        <v>7</v>
      </c>
      <c r="Q283" s="4" t="str">
        <f t="shared" si="2"/>
        <v>Sunday</v>
      </c>
      <c r="R283" s="4">
        <f t="shared" si="3"/>
        <v>19.65999985</v>
      </c>
      <c r="S283" s="2">
        <f t="shared" si="4"/>
        <v>0.07025761124</v>
      </c>
      <c r="T283" s="4" t="str">
        <f t="shared" si="5"/>
        <v>Low</v>
      </c>
    </row>
    <row r="284">
      <c r="A284" s="1">
        <v>4.702921684E9</v>
      </c>
      <c r="B284" s="3">
        <v>42464.0</v>
      </c>
      <c r="C284" s="1">
        <v>7810.0</v>
      </c>
      <c r="D284" s="1">
        <v>6.3600001335144</v>
      </c>
      <c r="E284" s="1">
        <v>6.3600001335144</v>
      </c>
      <c r="F284" s="1">
        <v>0.0</v>
      </c>
      <c r="G284" s="1">
        <v>0.479999989271164</v>
      </c>
      <c r="H284" s="1">
        <v>1.20000004768372</v>
      </c>
      <c r="I284" s="1">
        <v>4.67999982833862</v>
      </c>
      <c r="J284" s="1">
        <v>0.0</v>
      </c>
      <c r="K284" s="1">
        <v>6.0</v>
      </c>
      <c r="L284" s="1">
        <v>27.0</v>
      </c>
      <c r="M284" s="1">
        <v>216.0</v>
      </c>
      <c r="N284" s="1">
        <v>746.0</v>
      </c>
      <c r="O284" s="1">
        <v>2931.0</v>
      </c>
      <c r="P284" s="4">
        <f t="shared" si="1"/>
        <v>1</v>
      </c>
      <c r="Q284" s="4" t="str">
        <f t="shared" si="2"/>
        <v>Monday</v>
      </c>
      <c r="R284" s="4">
        <f t="shared" si="3"/>
        <v>12.72000027</v>
      </c>
      <c r="S284" s="2">
        <f t="shared" si="4"/>
        <v>0.03316582915</v>
      </c>
      <c r="T284" s="4" t="str">
        <f t="shared" si="5"/>
        <v>Low</v>
      </c>
    </row>
    <row r="285">
      <c r="A285" s="1">
        <v>4.702921684E9</v>
      </c>
      <c r="B285" s="3">
        <v>42465.0</v>
      </c>
      <c r="C285" s="1">
        <v>6670.0</v>
      </c>
      <c r="D285" s="1">
        <v>5.40999984741211</v>
      </c>
      <c r="E285" s="1">
        <v>5.40999984741211</v>
      </c>
      <c r="F285" s="1">
        <v>0.0</v>
      </c>
      <c r="G285" s="1">
        <v>1.24000000953674</v>
      </c>
      <c r="H285" s="1">
        <v>0.800000011920929</v>
      </c>
      <c r="I285" s="1">
        <v>3.36999988555908</v>
      </c>
      <c r="J285" s="1">
        <v>0.0</v>
      </c>
      <c r="K285" s="1">
        <v>15.0</v>
      </c>
      <c r="L285" s="1">
        <v>16.0</v>
      </c>
      <c r="M285" s="1">
        <v>199.0</v>
      </c>
      <c r="N285" s="1">
        <v>770.0</v>
      </c>
      <c r="O285" s="1">
        <v>2848.0</v>
      </c>
      <c r="P285" s="4">
        <f t="shared" si="1"/>
        <v>2</v>
      </c>
      <c r="Q285" s="4" t="str">
        <f t="shared" si="2"/>
        <v>Tuesday</v>
      </c>
      <c r="R285" s="4">
        <f t="shared" si="3"/>
        <v>10.81999969</v>
      </c>
      <c r="S285" s="2">
        <f t="shared" si="4"/>
        <v>0.031</v>
      </c>
      <c r="T285" s="4" t="str">
        <f t="shared" si="5"/>
        <v>Moderate</v>
      </c>
    </row>
    <row r="286">
      <c r="A286" s="1">
        <v>4.702921684E9</v>
      </c>
      <c r="B286" s="3">
        <v>42466.0</v>
      </c>
      <c r="C286" s="1">
        <v>7605.0</v>
      </c>
      <c r="D286" s="1">
        <v>6.17999982833862</v>
      </c>
      <c r="E286" s="1">
        <v>6.17999982833862</v>
      </c>
      <c r="F286" s="1">
        <v>0.0</v>
      </c>
      <c r="G286" s="1">
        <v>0.330000013113022</v>
      </c>
      <c r="H286" s="1">
        <v>0.209999993443489</v>
      </c>
      <c r="I286" s="1">
        <v>5.63000011444092</v>
      </c>
      <c r="J286" s="1">
        <v>0.0</v>
      </c>
      <c r="K286" s="1">
        <v>4.0</v>
      </c>
      <c r="L286" s="1">
        <v>4.0</v>
      </c>
      <c r="M286" s="1">
        <v>248.0</v>
      </c>
      <c r="N286" s="1">
        <v>708.0</v>
      </c>
      <c r="O286" s="1">
        <v>2943.0</v>
      </c>
      <c r="P286" s="4">
        <f t="shared" si="1"/>
        <v>3</v>
      </c>
      <c r="Q286" s="4" t="str">
        <f t="shared" si="2"/>
        <v>Wednesday</v>
      </c>
      <c r="R286" s="4">
        <f t="shared" si="3"/>
        <v>12.35999966</v>
      </c>
      <c r="S286" s="2">
        <f t="shared" si="4"/>
        <v>0.008298755187</v>
      </c>
      <c r="T286" s="4" t="str">
        <f t="shared" si="5"/>
        <v>Low</v>
      </c>
    </row>
    <row r="287">
      <c r="A287" s="1">
        <v>4.702921684E9</v>
      </c>
      <c r="B287" s="3">
        <v>42467.0</v>
      </c>
      <c r="C287" s="1">
        <v>6585.0</v>
      </c>
      <c r="D287" s="1">
        <v>5.34000015258789</v>
      </c>
      <c r="E287" s="1">
        <v>5.34000015258789</v>
      </c>
      <c r="F287" s="1">
        <v>0.0</v>
      </c>
      <c r="G287" s="1">
        <v>0.0</v>
      </c>
      <c r="H287" s="1">
        <v>0.0</v>
      </c>
      <c r="I287" s="1">
        <v>5.34000015258789</v>
      </c>
      <c r="J287" s="1">
        <v>0.0</v>
      </c>
      <c r="K287" s="1">
        <v>0.0</v>
      </c>
      <c r="L287" s="1">
        <v>0.0</v>
      </c>
      <c r="M287" s="1">
        <v>210.0</v>
      </c>
      <c r="N287" s="1">
        <v>770.0</v>
      </c>
      <c r="O287" s="1">
        <v>2822.0</v>
      </c>
      <c r="P287" s="4">
        <f t="shared" si="1"/>
        <v>4</v>
      </c>
      <c r="Q287" s="4" t="str">
        <f t="shared" si="2"/>
        <v>Thursday</v>
      </c>
      <c r="R287" s="4">
        <f t="shared" si="3"/>
        <v>10.68000031</v>
      </c>
      <c r="S287" s="2">
        <f t="shared" si="4"/>
        <v>0</v>
      </c>
      <c r="T287" s="4" t="str">
        <f t="shared" si="5"/>
        <v>Low</v>
      </c>
    </row>
    <row r="288">
      <c r="A288" s="1">
        <v>4.702921684E9</v>
      </c>
      <c r="B288" s="3">
        <v>42468.0</v>
      </c>
      <c r="C288" s="1">
        <v>8184.0</v>
      </c>
      <c r="D288" s="1">
        <v>6.6399998664856</v>
      </c>
      <c r="E288" s="1">
        <v>6.6399998664856</v>
      </c>
      <c r="F288" s="1">
        <v>0.0</v>
      </c>
      <c r="G288" s="1">
        <v>0.0</v>
      </c>
      <c r="H288" s="1">
        <v>0.620000004768372</v>
      </c>
      <c r="I288" s="1">
        <v>5.94999980926514</v>
      </c>
      <c r="J288" s="1">
        <v>0.0</v>
      </c>
      <c r="K288" s="1">
        <v>0.0</v>
      </c>
      <c r="L288" s="1">
        <v>15.0</v>
      </c>
      <c r="M288" s="1">
        <v>247.0</v>
      </c>
      <c r="N288" s="1">
        <v>808.0</v>
      </c>
      <c r="O288" s="1">
        <v>2981.0</v>
      </c>
      <c r="P288" s="4">
        <f t="shared" si="1"/>
        <v>5</v>
      </c>
      <c r="Q288" s="4" t="str">
        <f t="shared" si="2"/>
        <v>Friday</v>
      </c>
      <c r="R288" s="4">
        <f t="shared" si="3"/>
        <v>13.27999973</v>
      </c>
      <c r="S288" s="2">
        <f t="shared" si="4"/>
        <v>0.01401869159</v>
      </c>
      <c r="T288" s="4" t="str">
        <f t="shared" si="5"/>
        <v>Low</v>
      </c>
    </row>
    <row r="289">
      <c r="A289" s="1">
        <v>4.702921684E9</v>
      </c>
      <c r="B289" s="3">
        <v>42469.0</v>
      </c>
      <c r="C289" s="1">
        <v>14002.0</v>
      </c>
      <c r="D289" s="1">
        <v>11.3599996566772</v>
      </c>
      <c r="E289" s="1">
        <v>11.3599996566772</v>
      </c>
      <c r="F289" s="1">
        <v>0.0</v>
      </c>
      <c r="G289" s="1">
        <v>0.610000014305115</v>
      </c>
      <c r="H289" s="1">
        <v>2.6800000667572</v>
      </c>
      <c r="I289" s="1">
        <v>8.0600004196167</v>
      </c>
      <c r="J289" s="1">
        <v>0.0</v>
      </c>
      <c r="K289" s="1">
        <v>8.0</v>
      </c>
      <c r="L289" s="1">
        <v>56.0</v>
      </c>
      <c r="M289" s="1">
        <v>381.0</v>
      </c>
      <c r="N289" s="1">
        <v>407.0</v>
      </c>
      <c r="O289" s="1">
        <v>3597.0</v>
      </c>
      <c r="P289" s="4">
        <f t="shared" si="1"/>
        <v>6</v>
      </c>
      <c r="Q289" s="4" t="str">
        <f t="shared" si="2"/>
        <v>Saturday</v>
      </c>
      <c r="R289" s="4">
        <f t="shared" si="3"/>
        <v>22.71999931</v>
      </c>
      <c r="S289" s="2">
        <f t="shared" si="4"/>
        <v>0.07511737089</v>
      </c>
      <c r="T289" s="4" t="str">
        <f t="shared" si="5"/>
        <v>Low</v>
      </c>
    </row>
    <row r="290">
      <c r="A290" s="1">
        <v>4.702921684E9</v>
      </c>
      <c r="B290" s="3">
        <v>42470.0</v>
      </c>
      <c r="C290" s="1">
        <v>11135.0</v>
      </c>
      <c r="D290" s="1">
        <v>9.02999973297119</v>
      </c>
      <c r="E290" s="1">
        <v>9.02999973297119</v>
      </c>
      <c r="F290" s="1">
        <v>0.0</v>
      </c>
      <c r="G290" s="1">
        <v>0.0799999982118607</v>
      </c>
      <c r="H290" s="1">
        <v>1.1599999666214</v>
      </c>
      <c r="I290" s="1">
        <v>7.78999996185303</v>
      </c>
      <c r="J290" s="1">
        <v>0.0</v>
      </c>
      <c r="K290" s="1">
        <v>1.0</v>
      </c>
      <c r="L290" s="1">
        <v>25.0</v>
      </c>
      <c r="M290" s="1">
        <v>331.0</v>
      </c>
      <c r="N290" s="1">
        <v>528.0</v>
      </c>
      <c r="O290" s="1">
        <v>3224.0</v>
      </c>
      <c r="P290" s="4">
        <f t="shared" si="1"/>
        <v>7</v>
      </c>
      <c r="Q290" s="4" t="str">
        <f t="shared" si="2"/>
        <v>Sunday</v>
      </c>
      <c r="R290" s="4">
        <f t="shared" si="3"/>
        <v>18.05999947</v>
      </c>
      <c r="S290" s="2">
        <f t="shared" si="4"/>
        <v>0.02937853107</v>
      </c>
      <c r="T290" s="4" t="str">
        <f t="shared" si="5"/>
        <v>Low</v>
      </c>
    </row>
    <row r="291">
      <c r="A291" s="1">
        <v>4.702921684E9</v>
      </c>
      <c r="B291" s="3">
        <v>42471.0</v>
      </c>
      <c r="C291" s="1">
        <v>6499.0</v>
      </c>
      <c r="D291" s="1">
        <v>5.26999998092651</v>
      </c>
      <c r="E291" s="1">
        <v>5.26999998092651</v>
      </c>
      <c r="F291" s="1">
        <v>0.0</v>
      </c>
      <c r="G291" s="1">
        <v>0.0</v>
      </c>
      <c r="H291" s="1">
        <v>0.0</v>
      </c>
      <c r="I291" s="1">
        <v>5.26999998092651</v>
      </c>
      <c r="J291" s="1">
        <v>0.0</v>
      </c>
      <c r="K291" s="1">
        <v>0.0</v>
      </c>
      <c r="L291" s="1">
        <v>0.0</v>
      </c>
      <c r="M291" s="1">
        <v>207.0</v>
      </c>
      <c r="N291" s="1">
        <v>809.0</v>
      </c>
      <c r="O291" s="1">
        <v>2677.0</v>
      </c>
      <c r="P291" s="4">
        <f t="shared" si="1"/>
        <v>1</v>
      </c>
      <c r="Q291" s="4" t="str">
        <f t="shared" si="2"/>
        <v>Monday</v>
      </c>
      <c r="R291" s="4">
        <f t="shared" si="3"/>
        <v>10.53999996</v>
      </c>
      <c r="S291" s="2">
        <f t="shared" si="4"/>
        <v>0</v>
      </c>
      <c r="T291" s="4" t="str">
        <f t="shared" si="5"/>
        <v>Low</v>
      </c>
    </row>
    <row r="292">
      <c r="A292" s="1">
        <v>4.702921684E9</v>
      </c>
      <c r="B292" s="3">
        <v>42472.0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1440.0</v>
      </c>
      <c r="O292" s="1">
        <v>0.0</v>
      </c>
      <c r="P292" s="4">
        <f t="shared" si="1"/>
        <v>2</v>
      </c>
      <c r="Q292" s="4" t="str">
        <f t="shared" si="2"/>
        <v>Tuesday</v>
      </c>
      <c r="R292" s="4">
        <f t="shared" si="3"/>
        <v>0</v>
      </c>
      <c r="S292" s="2">
        <f t="shared" si="4"/>
        <v>0</v>
      </c>
      <c r="T292" s="4" t="str">
        <f t="shared" si="5"/>
        <v>Low</v>
      </c>
    </row>
    <row r="293">
      <c r="A293" s="1">
        <v>5.553957443E9</v>
      </c>
      <c r="B293" s="3">
        <v>42461.0</v>
      </c>
      <c r="C293" s="1">
        <v>12409.0</v>
      </c>
      <c r="D293" s="1">
        <v>8.10000038146973</v>
      </c>
      <c r="E293" s="1">
        <v>8.10000038146973</v>
      </c>
      <c r="F293" s="1">
        <v>0.0</v>
      </c>
      <c r="G293" s="1">
        <v>2.90000009536743</v>
      </c>
      <c r="H293" s="1">
        <v>0.629999995231628</v>
      </c>
      <c r="I293" s="1">
        <v>4.57999992370605</v>
      </c>
      <c r="J293" s="1">
        <v>0.0</v>
      </c>
      <c r="K293" s="1">
        <v>51.0</v>
      </c>
      <c r="L293" s="1">
        <v>12.0</v>
      </c>
      <c r="M293" s="1">
        <v>235.0</v>
      </c>
      <c r="N293" s="1">
        <v>782.0</v>
      </c>
      <c r="O293" s="1">
        <v>2142.0</v>
      </c>
      <c r="P293" s="4">
        <f t="shared" si="1"/>
        <v>5</v>
      </c>
      <c r="Q293" s="4" t="str">
        <f t="shared" si="2"/>
        <v>Friday</v>
      </c>
      <c r="R293" s="4">
        <f t="shared" si="3"/>
        <v>16.20000076</v>
      </c>
      <c r="S293" s="2">
        <f t="shared" si="4"/>
        <v>0.05833333333</v>
      </c>
      <c r="T293" s="4" t="str">
        <f t="shared" si="5"/>
        <v>High</v>
      </c>
    </row>
    <row r="294">
      <c r="A294" s="1">
        <v>5.553957443E9</v>
      </c>
      <c r="B294" s="3">
        <v>42462.0</v>
      </c>
      <c r="C294" s="1">
        <v>2937.0</v>
      </c>
      <c r="D294" s="1">
        <v>1.91999995708466</v>
      </c>
      <c r="E294" s="1">
        <v>1.91999995708466</v>
      </c>
      <c r="F294" s="1">
        <v>0.0</v>
      </c>
      <c r="G294" s="1">
        <v>0.0</v>
      </c>
      <c r="H294" s="1">
        <v>0.0</v>
      </c>
      <c r="I294" s="1">
        <v>1.9099999666214</v>
      </c>
      <c r="J294" s="1">
        <v>0.0</v>
      </c>
      <c r="K294" s="1">
        <v>0.0</v>
      </c>
      <c r="L294" s="1">
        <v>0.0</v>
      </c>
      <c r="M294" s="1">
        <v>181.0</v>
      </c>
      <c r="N294" s="1">
        <v>356.0</v>
      </c>
      <c r="O294" s="1">
        <v>1615.0</v>
      </c>
      <c r="P294" s="4">
        <f t="shared" si="1"/>
        <v>6</v>
      </c>
      <c r="Q294" s="4" t="str">
        <f t="shared" si="2"/>
        <v>Saturday</v>
      </c>
      <c r="R294" s="4">
        <f t="shared" si="3"/>
        <v>3.839999914</v>
      </c>
      <c r="S294" s="2">
        <f t="shared" si="4"/>
        <v>0</v>
      </c>
      <c r="T294" s="4" t="str">
        <f t="shared" si="5"/>
        <v>Low</v>
      </c>
    </row>
    <row r="295">
      <c r="A295" s="1">
        <v>5.553957443E9</v>
      </c>
      <c r="B295" s="3">
        <v>42463.0</v>
      </c>
      <c r="C295" s="1">
        <v>1515.0</v>
      </c>
      <c r="D295" s="1">
        <v>0.990000009536743</v>
      </c>
      <c r="E295" s="1">
        <v>0.990000009536743</v>
      </c>
      <c r="F295" s="1">
        <v>0.0</v>
      </c>
      <c r="G295" s="1">
        <v>0.0</v>
      </c>
      <c r="H295" s="1">
        <v>0.0</v>
      </c>
      <c r="I295" s="1">
        <v>0.990000009536743</v>
      </c>
      <c r="J295" s="1">
        <v>0.0</v>
      </c>
      <c r="K295" s="1">
        <v>0.0</v>
      </c>
      <c r="L295" s="1">
        <v>0.0</v>
      </c>
      <c r="M295" s="1">
        <v>93.0</v>
      </c>
      <c r="N295" s="1">
        <v>507.0</v>
      </c>
      <c r="O295" s="1">
        <v>1481.0</v>
      </c>
      <c r="P295" s="4">
        <f t="shared" si="1"/>
        <v>7</v>
      </c>
      <c r="Q295" s="4" t="str">
        <f t="shared" si="2"/>
        <v>Sunday</v>
      </c>
      <c r="R295" s="4">
        <f t="shared" si="3"/>
        <v>1.980000019</v>
      </c>
      <c r="S295" s="2">
        <f t="shared" si="4"/>
        <v>0</v>
      </c>
      <c r="T295" s="4" t="str">
        <f t="shared" si="5"/>
        <v>Low</v>
      </c>
    </row>
    <row r="296">
      <c r="A296" s="1">
        <v>5.553957443E9</v>
      </c>
      <c r="B296" s="3">
        <v>42464.0</v>
      </c>
      <c r="C296" s="1">
        <v>8921.0</v>
      </c>
      <c r="D296" s="1">
        <v>5.88000011444092</v>
      </c>
      <c r="E296" s="1">
        <v>5.88000011444092</v>
      </c>
      <c r="F296" s="1">
        <v>0.0</v>
      </c>
      <c r="G296" s="1">
        <v>2.0699999332428</v>
      </c>
      <c r="H296" s="1">
        <v>0.439999997615814</v>
      </c>
      <c r="I296" s="1">
        <v>3.35999989509583</v>
      </c>
      <c r="J296" s="1">
        <v>0.0</v>
      </c>
      <c r="K296" s="1">
        <v>27.0</v>
      </c>
      <c r="L296" s="1">
        <v>8.0</v>
      </c>
      <c r="M296" s="1">
        <v>198.0</v>
      </c>
      <c r="N296" s="1">
        <v>754.0</v>
      </c>
      <c r="O296" s="1">
        <v>1892.0</v>
      </c>
      <c r="P296" s="4">
        <f t="shared" si="1"/>
        <v>1</v>
      </c>
      <c r="Q296" s="4" t="str">
        <f t="shared" si="2"/>
        <v>Monday</v>
      </c>
      <c r="R296" s="4">
        <f t="shared" si="3"/>
        <v>11.76000023</v>
      </c>
      <c r="S296" s="2">
        <f t="shared" si="4"/>
        <v>0.03546099291</v>
      </c>
      <c r="T296" s="4" t="str">
        <f t="shared" si="5"/>
        <v>Moderate</v>
      </c>
    </row>
    <row r="297">
      <c r="A297" s="1">
        <v>5.553957443E9</v>
      </c>
      <c r="B297" s="3">
        <v>42465.0</v>
      </c>
      <c r="C297" s="1">
        <v>11306.0</v>
      </c>
      <c r="D297" s="1">
        <v>7.38000011444092</v>
      </c>
      <c r="E297" s="1">
        <v>7.38000011444092</v>
      </c>
      <c r="F297" s="1">
        <v>0.0</v>
      </c>
      <c r="G297" s="1">
        <v>2.30999994277954</v>
      </c>
      <c r="H297" s="1">
        <v>0.980000019073486</v>
      </c>
      <c r="I297" s="1">
        <v>4.09000015258789</v>
      </c>
      <c r="J297" s="1">
        <v>0.0</v>
      </c>
      <c r="K297" s="1">
        <v>40.0</v>
      </c>
      <c r="L297" s="1">
        <v>26.0</v>
      </c>
      <c r="M297" s="1">
        <v>218.0</v>
      </c>
      <c r="N297" s="1">
        <v>772.0</v>
      </c>
      <c r="O297" s="1">
        <v>2086.0</v>
      </c>
      <c r="P297" s="4">
        <f t="shared" si="1"/>
        <v>2</v>
      </c>
      <c r="Q297" s="4" t="str">
        <f t="shared" si="2"/>
        <v>Tuesday</v>
      </c>
      <c r="R297" s="4">
        <f t="shared" si="3"/>
        <v>14.76000023</v>
      </c>
      <c r="S297" s="2">
        <f t="shared" si="4"/>
        <v>0.0625</v>
      </c>
      <c r="T297" s="4" t="str">
        <f t="shared" si="5"/>
        <v>High</v>
      </c>
    </row>
    <row r="298">
      <c r="A298" s="1">
        <v>5.553957443E9</v>
      </c>
      <c r="B298" s="3">
        <v>42466.0</v>
      </c>
      <c r="C298" s="1">
        <v>12252.0</v>
      </c>
      <c r="D298" s="1">
        <v>8.0</v>
      </c>
      <c r="E298" s="1">
        <v>8.0</v>
      </c>
      <c r="F298" s="1">
        <v>0.0</v>
      </c>
      <c r="G298" s="1">
        <v>2.41000008583069</v>
      </c>
      <c r="H298" s="1">
        <v>1.70000004768372</v>
      </c>
      <c r="I298" s="1">
        <v>3.89000010490417</v>
      </c>
      <c r="J298" s="1">
        <v>0.0</v>
      </c>
      <c r="K298" s="1">
        <v>33.0</v>
      </c>
      <c r="L298" s="1">
        <v>28.0</v>
      </c>
      <c r="M298" s="1">
        <v>229.0</v>
      </c>
      <c r="N298" s="1">
        <v>745.0</v>
      </c>
      <c r="O298" s="1">
        <v>2044.0</v>
      </c>
      <c r="P298" s="4">
        <f t="shared" si="1"/>
        <v>3</v>
      </c>
      <c r="Q298" s="4" t="str">
        <f t="shared" si="2"/>
        <v>Wednesday</v>
      </c>
      <c r="R298" s="4">
        <f t="shared" si="3"/>
        <v>16</v>
      </c>
      <c r="S298" s="2">
        <f t="shared" si="4"/>
        <v>0.05893719807</v>
      </c>
      <c r="T298" s="4" t="str">
        <f t="shared" si="5"/>
        <v>High</v>
      </c>
    </row>
    <row r="299">
      <c r="A299" s="1">
        <v>5.553957443E9</v>
      </c>
      <c r="B299" s="3">
        <v>42467.0</v>
      </c>
      <c r="C299" s="1">
        <v>15444.0</v>
      </c>
      <c r="D299" s="1">
        <v>10.0799999237061</v>
      </c>
      <c r="E299" s="1">
        <v>10.0799999237061</v>
      </c>
      <c r="F299" s="1">
        <v>0.0</v>
      </c>
      <c r="G299" s="1">
        <v>3.26999998092651</v>
      </c>
      <c r="H299" s="1">
        <v>1.73000001907349</v>
      </c>
      <c r="I299" s="1">
        <v>5.07999992370605</v>
      </c>
      <c r="J299" s="1">
        <v>0.0</v>
      </c>
      <c r="K299" s="1">
        <v>51.0</v>
      </c>
      <c r="L299" s="1">
        <v>39.0</v>
      </c>
      <c r="M299" s="1">
        <v>243.0</v>
      </c>
      <c r="N299" s="1">
        <v>731.0</v>
      </c>
      <c r="O299" s="1">
        <v>2249.0</v>
      </c>
      <c r="P299" s="4">
        <f t="shared" si="1"/>
        <v>4</v>
      </c>
      <c r="Q299" s="4" t="str">
        <f t="shared" si="2"/>
        <v>Thursday</v>
      </c>
      <c r="R299" s="4">
        <f t="shared" si="3"/>
        <v>20.15999985</v>
      </c>
      <c r="S299" s="2">
        <f t="shared" si="4"/>
        <v>0.08458646617</v>
      </c>
      <c r="T299" s="4" t="str">
        <f t="shared" si="5"/>
        <v>High</v>
      </c>
    </row>
    <row r="300">
      <c r="A300" s="1">
        <v>5.553957443E9</v>
      </c>
      <c r="B300" s="3">
        <v>42468.0</v>
      </c>
      <c r="C300" s="1">
        <v>9938.0</v>
      </c>
      <c r="D300" s="1">
        <v>6.48999977111816</v>
      </c>
      <c r="E300" s="1">
        <v>6.48999977111816</v>
      </c>
      <c r="F300" s="1">
        <v>0.0</v>
      </c>
      <c r="G300" s="1">
        <v>2.14000010490417</v>
      </c>
      <c r="H300" s="1">
        <v>1.27999997138977</v>
      </c>
      <c r="I300" s="1">
        <v>3.07999992370605</v>
      </c>
      <c r="J300" s="1">
        <v>0.0</v>
      </c>
      <c r="K300" s="1">
        <v>38.0</v>
      </c>
      <c r="L300" s="1">
        <v>24.0</v>
      </c>
      <c r="M300" s="1">
        <v>193.0</v>
      </c>
      <c r="N300" s="1">
        <v>767.0</v>
      </c>
      <c r="O300" s="1">
        <v>2019.0</v>
      </c>
      <c r="P300" s="4">
        <f t="shared" si="1"/>
        <v>5</v>
      </c>
      <c r="Q300" s="4" t="str">
        <f t="shared" si="2"/>
        <v>Friday</v>
      </c>
      <c r="R300" s="4">
        <f t="shared" si="3"/>
        <v>12.97999954</v>
      </c>
      <c r="S300" s="2">
        <f t="shared" si="4"/>
        <v>0.06066536204</v>
      </c>
      <c r="T300" s="4" t="str">
        <f t="shared" si="5"/>
        <v>High</v>
      </c>
    </row>
    <row r="301">
      <c r="A301" s="1">
        <v>5.553957443E9</v>
      </c>
      <c r="B301" s="3">
        <v>42469.0</v>
      </c>
      <c r="C301" s="1">
        <v>4599.0</v>
      </c>
      <c r="D301" s="1">
        <v>3.0</v>
      </c>
      <c r="E301" s="1">
        <v>3.0</v>
      </c>
      <c r="F301" s="1">
        <v>0.0</v>
      </c>
      <c r="G301" s="1">
        <v>0.0</v>
      </c>
      <c r="H301" s="1">
        <v>0.0</v>
      </c>
      <c r="I301" s="1">
        <v>3.0</v>
      </c>
      <c r="J301" s="1">
        <v>0.0</v>
      </c>
      <c r="K301" s="1">
        <v>0.0</v>
      </c>
      <c r="L301" s="1">
        <v>0.0</v>
      </c>
      <c r="M301" s="1">
        <v>176.0</v>
      </c>
      <c r="N301" s="1">
        <v>578.0</v>
      </c>
      <c r="O301" s="1">
        <v>1692.0</v>
      </c>
      <c r="P301" s="4">
        <f t="shared" si="1"/>
        <v>6</v>
      </c>
      <c r="Q301" s="4" t="str">
        <f t="shared" si="2"/>
        <v>Saturday</v>
      </c>
      <c r="R301" s="4">
        <f t="shared" si="3"/>
        <v>6</v>
      </c>
      <c r="S301" s="2">
        <f t="shared" si="4"/>
        <v>0</v>
      </c>
      <c r="T301" s="4" t="str">
        <f t="shared" si="5"/>
        <v>Low</v>
      </c>
    </row>
    <row r="302">
      <c r="A302" s="1">
        <v>5.553957443E9</v>
      </c>
      <c r="B302" s="3">
        <v>42470.0</v>
      </c>
      <c r="C302" s="1">
        <v>5594.0</v>
      </c>
      <c r="D302" s="1">
        <v>3.65000009536743</v>
      </c>
      <c r="E302" s="1">
        <v>3.65000009536743</v>
      </c>
      <c r="F302" s="1">
        <v>0.0</v>
      </c>
      <c r="G302" s="1">
        <v>0.280000001192093</v>
      </c>
      <c r="H302" s="1">
        <v>1.48000001907349</v>
      </c>
      <c r="I302" s="1">
        <v>1.88999998569489</v>
      </c>
      <c r="J302" s="1">
        <v>0.0</v>
      </c>
      <c r="K302" s="1">
        <v>4.0</v>
      </c>
      <c r="L302" s="1">
        <v>25.0</v>
      </c>
      <c r="M302" s="1">
        <v>150.0</v>
      </c>
      <c r="N302" s="1">
        <v>552.0</v>
      </c>
      <c r="O302" s="1">
        <v>1712.0</v>
      </c>
      <c r="P302" s="4">
        <f t="shared" si="1"/>
        <v>7</v>
      </c>
      <c r="Q302" s="4" t="str">
        <f t="shared" si="2"/>
        <v>Sunday</v>
      </c>
      <c r="R302" s="4">
        <f t="shared" si="3"/>
        <v>7.300000191</v>
      </c>
      <c r="S302" s="2">
        <f t="shared" si="4"/>
        <v>0.03967168263</v>
      </c>
      <c r="T302" s="4" t="str">
        <f t="shared" si="5"/>
        <v>Low</v>
      </c>
    </row>
    <row r="303">
      <c r="A303" s="1">
        <v>5.553957443E9</v>
      </c>
      <c r="B303" s="3">
        <v>42471.0</v>
      </c>
      <c r="C303" s="1">
        <v>11906.0</v>
      </c>
      <c r="D303" s="1">
        <v>7.76999998092651</v>
      </c>
      <c r="E303" s="1">
        <v>7.76999998092651</v>
      </c>
      <c r="F303" s="1">
        <v>0.0</v>
      </c>
      <c r="G303" s="1">
        <v>2.25999999046326</v>
      </c>
      <c r="H303" s="1">
        <v>1.51999998092651</v>
      </c>
      <c r="I303" s="1">
        <v>3.99000000953674</v>
      </c>
      <c r="J303" s="1">
        <v>0.0</v>
      </c>
      <c r="K303" s="1">
        <v>32.0</v>
      </c>
      <c r="L303" s="1">
        <v>27.0</v>
      </c>
      <c r="M303" s="1">
        <v>234.0</v>
      </c>
      <c r="N303" s="1">
        <v>688.0</v>
      </c>
      <c r="O303" s="1">
        <v>2065.0</v>
      </c>
      <c r="P303" s="4">
        <f t="shared" si="1"/>
        <v>1</v>
      </c>
      <c r="Q303" s="4" t="str">
        <f t="shared" si="2"/>
        <v>Monday</v>
      </c>
      <c r="R303" s="4">
        <f t="shared" si="3"/>
        <v>15.53999996</v>
      </c>
      <c r="S303" s="2">
        <f t="shared" si="4"/>
        <v>0.06014271152</v>
      </c>
      <c r="T303" s="4" t="str">
        <f t="shared" si="5"/>
        <v>High</v>
      </c>
    </row>
    <row r="304">
      <c r="A304" s="1">
        <v>5.553957443E9</v>
      </c>
      <c r="B304" s="3">
        <v>42472.0</v>
      </c>
      <c r="C304" s="1">
        <v>3436.0</v>
      </c>
      <c r="D304" s="1">
        <v>2.24000000953674</v>
      </c>
      <c r="E304" s="1">
        <v>2.24000000953674</v>
      </c>
      <c r="F304" s="1">
        <v>0.0</v>
      </c>
      <c r="G304" s="1">
        <v>0.5</v>
      </c>
      <c r="H304" s="1">
        <v>0.670000016689301</v>
      </c>
      <c r="I304" s="1">
        <v>1.04999995231628</v>
      </c>
      <c r="J304" s="1">
        <v>0.0</v>
      </c>
      <c r="K304" s="1">
        <v>7.0</v>
      </c>
      <c r="L304" s="1">
        <v>11.0</v>
      </c>
      <c r="M304" s="1">
        <v>50.0</v>
      </c>
      <c r="N304" s="1">
        <v>61.0</v>
      </c>
      <c r="O304" s="1">
        <v>633.0</v>
      </c>
      <c r="P304" s="4">
        <f t="shared" si="1"/>
        <v>2</v>
      </c>
      <c r="Q304" s="4" t="str">
        <f t="shared" si="2"/>
        <v>Tuesday</v>
      </c>
      <c r="R304" s="4">
        <f t="shared" si="3"/>
        <v>4.480000019</v>
      </c>
      <c r="S304" s="2">
        <f t="shared" si="4"/>
        <v>0.1395348837</v>
      </c>
      <c r="T304" s="4" t="str">
        <f t="shared" si="5"/>
        <v>Low</v>
      </c>
    </row>
    <row r="305">
      <c r="A305" s="1">
        <v>5.577150313E9</v>
      </c>
      <c r="B305" s="3">
        <v>42461.0</v>
      </c>
      <c r="C305" s="1">
        <v>10461.0</v>
      </c>
      <c r="D305" s="1">
        <v>7.86999988555908</v>
      </c>
      <c r="E305" s="1">
        <v>7.86999988555908</v>
      </c>
      <c r="F305" s="1">
        <v>0.0</v>
      </c>
      <c r="G305" s="1">
        <v>4.76000022888184</v>
      </c>
      <c r="H305" s="1">
        <v>0.850000023841858</v>
      </c>
      <c r="I305" s="1">
        <v>2.25</v>
      </c>
      <c r="J305" s="1">
        <v>0.0</v>
      </c>
      <c r="K305" s="1">
        <v>99.0</v>
      </c>
      <c r="L305" s="1">
        <v>31.0</v>
      </c>
      <c r="M305" s="1">
        <v>142.0</v>
      </c>
      <c r="N305" s="1">
        <v>721.0</v>
      </c>
      <c r="O305" s="1">
        <v>3625.0</v>
      </c>
      <c r="P305" s="4">
        <f t="shared" si="1"/>
        <v>5</v>
      </c>
      <c r="Q305" s="4" t="str">
        <f t="shared" si="2"/>
        <v>Friday</v>
      </c>
      <c r="R305" s="4">
        <f t="shared" si="3"/>
        <v>15.73999977</v>
      </c>
      <c r="S305" s="2">
        <f t="shared" si="4"/>
        <v>0.1309164149</v>
      </c>
      <c r="T305" s="4" t="str">
        <f t="shared" si="5"/>
        <v>High</v>
      </c>
    </row>
    <row r="306">
      <c r="A306" s="1">
        <v>5.577150313E9</v>
      </c>
      <c r="B306" s="3">
        <v>42462.0</v>
      </c>
      <c r="C306" s="1">
        <v>14873.0</v>
      </c>
      <c r="D306" s="1">
        <v>11.1099996566772</v>
      </c>
      <c r="E306" s="1">
        <v>11.1099996566772</v>
      </c>
      <c r="F306" s="1">
        <v>0.0</v>
      </c>
      <c r="G306" s="1">
        <v>8.1899995803833</v>
      </c>
      <c r="H306" s="1">
        <v>0.600000023841858</v>
      </c>
      <c r="I306" s="1">
        <v>2.30999994277954</v>
      </c>
      <c r="J306" s="1">
        <v>0.0</v>
      </c>
      <c r="K306" s="1">
        <v>202.0</v>
      </c>
      <c r="L306" s="1">
        <v>36.0</v>
      </c>
      <c r="M306" s="1">
        <v>153.0</v>
      </c>
      <c r="N306" s="1">
        <v>663.0</v>
      </c>
      <c r="O306" s="1">
        <v>4430.0</v>
      </c>
      <c r="P306" s="4">
        <f t="shared" si="1"/>
        <v>6</v>
      </c>
      <c r="Q306" s="4" t="str">
        <f t="shared" si="2"/>
        <v>Saturday</v>
      </c>
      <c r="R306" s="4">
        <f t="shared" si="3"/>
        <v>22.21999931</v>
      </c>
      <c r="S306" s="2">
        <f t="shared" si="4"/>
        <v>0.2258064516</v>
      </c>
      <c r="T306" s="4" t="str">
        <f t="shared" si="5"/>
        <v>High</v>
      </c>
    </row>
    <row r="307">
      <c r="A307" s="1">
        <v>5.577150313E9</v>
      </c>
      <c r="B307" s="3">
        <v>42463.0</v>
      </c>
      <c r="C307" s="1">
        <v>9917.0</v>
      </c>
      <c r="D307" s="1">
        <v>7.40999984741211</v>
      </c>
      <c r="E307" s="1">
        <v>7.40999984741211</v>
      </c>
      <c r="F307" s="1">
        <v>0.0</v>
      </c>
      <c r="G307" s="1">
        <v>1.99000000953674</v>
      </c>
      <c r="H307" s="1">
        <v>0.970000028610229</v>
      </c>
      <c r="I307" s="1">
        <v>4.44000005722046</v>
      </c>
      <c r="J307" s="1">
        <v>0.0</v>
      </c>
      <c r="K307" s="1">
        <v>58.0</v>
      </c>
      <c r="L307" s="1">
        <v>27.0</v>
      </c>
      <c r="M307" s="1">
        <v>240.0</v>
      </c>
      <c r="N307" s="1">
        <v>700.0</v>
      </c>
      <c r="O307" s="1">
        <v>3427.0</v>
      </c>
      <c r="P307" s="4">
        <f t="shared" si="1"/>
        <v>7</v>
      </c>
      <c r="Q307" s="4" t="str">
        <f t="shared" si="2"/>
        <v>Sunday</v>
      </c>
      <c r="R307" s="4">
        <f t="shared" si="3"/>
        <v>14.81999969</v>
      </c>
      <c r="S307" s="2">
        <f t="shared" si="4"/>
        <v>0.08292682927</v>
      </c>
      <c r="T307" s="4" t="str">
        <f t="shared" si="5"/>
        <v>High</v>
      </c>
    </row>
    <row r="308">
      <c r="A308" s="1">
        <v>5.577150313E9</v>
      </c>
      <c r="B308" s="3">
        <v>42464.0</v>
      </c>
      <c r="C308" s="1">
        <v>7401.0</v>
      </c>
      <c r="D308" s="1">
        <v>5.55999994277954</v>
      </c>
      <c r="E308" s="1">
        <v>5.55999994277954</v>
      </c>
      <c r="F308" s="1">
        <v>0.0</v>
      </c>
      <c r="G308" s="1">
        <v>2.3199999332428</v>
      </c>
      <c r="H308" s="1">
        <v>0.360000014305115</v>
      </c>
      <c r="I308" s="1">
        <v>2.88000011444092</v>
      </c>
      <c r="J308" s="1">
        <v>0.0</v>
      </c>
      <c r="K308" s="1">
        <v>70.0</v>
      </c>
      <c r="L308" s="1">
        <v>19.0</v>
      </c>
      <c r="M308" s="1">
        <v>204.0</v>
      </c>
      <c r="N308" s="1">
        <v>689.0</v>
      </c>
      <c r="O308" s="1">
        <v>3492.0</v>
      </c>
      <c r="P308" s="4">
        <f t="shared" si="1"/>
        <v>1</v>
      </c>
      <c r="Q308" s="4" t="str">
        <f t="shared" si="2"/>
        <v>Monday</v>
      </c>
      <c r="R308" s="4">
        <f t="shared" si="3"/>
        <v>11.11999989</v>
      </c>
      <c r="S308" s="2">
        <f t="shared" si="4"/>
        <v>0.09063136456</v>
      </c>
      <c r="T308" s="4" t="str">
        <f t="shared" si="5"/>
        <v>High</v>
      </c>
    </row>
    <row r="309">
      <c r="A309" s="1">
        <v>5.577150313E9</v>
      </c>
      <c r="B309" s="3">
        <v>42465.0</v>
      </c>
      <c r="C309" s="1">
        <v>8964.0</v>
      </c>
      <c r="D309" s="1">
        <v>6.69999980926514</v>
      </c>
      <c r="E309" s="1">
        <v>6.69999980926514</v>
      </c>
      <c r="F309" s="1">
        <v>0.0</v>
      </c>
      <c r="G309" s="1">
        <v>3.97000002861023</v>
      </c>
      <c r="H309" s="1">
        <v>0.189999997615814</v>
      </c>
      <c r="I309" s="1">
        <v>2.52999997138977</v>
      </c>
      <c r="J309" s="1">
        <v>0.0</v>
      </c>
      <c r="K309" s="1">
        <v>107.0</v>
      </c>
      <c r="L309" s="1">
        <v>18.0</v>
      </c>
      <c r="M309" s="1">
        <v>145.0</v>
      </c>
      <c r="N309" s="1">
        <v>756.0</v>
      </c>
      <c r="O309" s="1">
        <v>3597.0</v>
      </c>
      <c r="P309" s="4">
        <f t="shared" si="1"/>
        <v>2</v>
      </c>
      <c r="Q309" s="4" t="str">
        <f t="shared" si="2"/>
        <v>Tuesday</v>
      </c>
      <c r="R309" s="4">
        <f t="shared" si="3"/>
        <v>13.39999962</v>
      </c>
      <c r="S309" s="2">
        <f t="shared" si="4"/>
        <v>0.1218323587</v>
      </c>
      <c r="T309" s="4" t="str">
        <f t="shared" si="5"/>
        <v>High</v>
      </c>
    </row>
    <row r="310">
      <c r="A310" s="1">
        <v>5.577150313E9</v>
      </c>
      <c r="B310" s="3">
        <v>42466.0</v>
      </c>
      <c r="C310" s="1">
        <v>11080.0</v>
      </c>
      <c r="D310" s="1">
        <v>8.30000019073486</v>
      </c>
      <c r="E310" s="1">
        <v>8.30000019073486</v>
      </c>
      <c r="F310" s="1">
        <v>0.0</v>
      </c>
      <c r="G310" s="1">
        <v>3.13000011444092</v>
      </c>
      <c r="H310" s="1">
        <v>1.37000000476837</v>
      </c>
      <c r="I310" s="1">
        <v>3.80999994277954</v>
      </c>
      <c r="J310" s="1">
        <v>0.0</v>
      </c>
      <c r="K310" s="1">
        <v>83.0</v>
      </c>
      <c r="L310" s="1">
        <v>52.0</v>
      </c>
      <c r="M310" s="1">
        <v>190.0</v>
      </c>
      <c r="N310" s="1">
        <v>695.0</v>
      </c>
      <c r="O310" s="1">
        <v>3765.0</v>
      </c>
      <c r="P310" s="4">
        <f t="shared" si="1"/>
        <v>3</v>
      </c>
      <c r="Q310" s="4" t="str">
        <f t="shared" si="2"/>
        <v>Wednesday</v>
      </c>
      <c r="R310" s="4">
        <f t="shared" si="3"/>
        <v>16.60000038</v>
      </c>
      <c r="S310" s="2">
        <f t="shared" si="4"/>
        <v>0.1323529412</v>
      </c>
      <c r="T310" s="4" t="str">
        <f t="shared" si="5"/>
        <v>High</v>
      </c>
    </row>
    <row r="311">
      <c r="A311" s="1">
        <v>5.577150313E9</v>
      </c>
      <c r="B311" s="3">
        <v>42467.0</v>
      </c>
      <c r="C311" s="1">
        <v>4499.0</v>
      </c>
      <c r="D311" s="1">
        <v>3.35999989509583</v>
      </c>
      <c r="E311" s="1">
        <v>3.35999989509583</v>
      </c>
      <c r="F311" s="1">
        <v>0.0</v>
      </c>
      <c r="G311" s="1">
        <v>0.889999985694885</v>
      </c>
      <c r="H311" s="1">
        <v>0.259999990463257</v>
      </c>
      <c r="I311" s="1">
        <v>2.21000003814697</v>
      </c>
      <c r="J311" s="1">
        <v>0.0</v>
      </c>
      <c r="K311" s="1">
        <v>31.0</v>
      </c>
      <c r="L311" s="1">
        <v>11.0</v>
      </c>
      <c r="M311" s="1">
        <v>146.0</v>
      </c>
      <c r="N311" s="1">
        <v>756.0</v>
      </c>
      <c r="O311" s="1">
        <v>2775.0</v>
      </c>
      <c r="P311" s="4">
        <f t="shared" si="1"/>
        <v>4</v>
      </c>
      <c r="Q311" s="4" t="str">
        <f t="shared" si="2"/>
        <v>Thursday</v>
      </c>
      <c r="R311" s="4">
        <f t="shared" si="3"/>
        <v>6.71999979</v>
      </c>
      <c r="S311" s="2">
        <f t="shared" si="4"/>
        <v>0.04449152542</v>
      </c>
      <c r="T311" s="4" t="str">
        <f t="shared" si="5"/>
        <v>High</v>
      </c>
    </row>
    <row r="312">
      <c r="A312" s="1">
        <v>5.577150313E9</v>
      </c>
      <c r="B312" s="3">
        <v>42468.0</v>
      </c>
      <c r="C312" s="1">
        <v>4363.0</v>
      </c>
      <c r="D312" s="1">
        <v>3.25999999046326</v>
      </c>
      <c r="E312" s="1">
        <v>3.25999999046326</v>
      </c>
      <c r="F312" s="1">
        <v>0.0</v>
      </c>
      <c r="G312" s="1">
        <v>0.129999995231628</v>
      </c>
      <c r="H312" s="1">
        <v>0.0599999986588955</v>
      </c>
      <c r="I312" s="1">
        <v>3.07999992370605</v>
      </c>
      <c r="J312" s="1">
        <v>0.0</v>
      </c>
      <c r="K312" s="1">
        <v>8.0</v>
      </c>
      <c r="L312" s="1">
        <v>2.0</v>
      </c>
      <c r="M312" s="1">
        <v>156.0</v>
      </c>
      <c r="N312" s="1">
        <v>813.0</v>
      </c>
      <c r="O312" s="1">
        <v>2486.0</v>
      </c>
      <c r="P312" s="4">
        <f t="shared" si="1"/>
        <v>5</v>
      </c>
      <c r="Q312" s="4" t="str">
        <f t="shared" si="2"/>
        <v>Friday</v>
      </c>
      <c r="R312" s="4">
        <f t="shared" si="3"/>
        <v>6.519999981</v>
      </c>
      <c r="S312" s="2">
        <f t="shared" si="4"/>
        <v>0.0102145046</v>
      </c>
      <c r="T312" s="4" t="str">
        <f t="shared" si="5"/>
        <v>Low</v>
      </c>
    </row>
    <row r="313">
      <c r="A313" s="1">
        <v>5.577150313E9</v>
      </c>
      <c r="B313" s="3">
        <v>42469.0</v>
      </c>
      <c r="C313" s="1">
        <v>10494.0</v>
      </c>
      <c r="D313" s="1">
        <v>7.84000015258789</v>
      </c>
      <c r="E313" s="1">
        <v>7.84000015258789</v>
      </c>
      <c r="F313" s="1">
        <v>0.0</v>
      </c>
      <c r="G313" s="1">
        <v>4.90999984741211</v>
      </c>
      <c r="H313" s="1">
        <v>0.779999971389771</v>
      </c>
      <c r="I313" s="1">
        <v>2.15000009536743</v>
      </c>
      <c r="J313" s="1">
        <v>0.0</v>
      </c>
      <c r="K313" s="1">
        <v>123.0</v>
      </c>
      <c r="L313" s="1">
        <v>62.0</v>
      </c>
      <c r="M313" s="1">
        <v>138.0</v>
      </c>
      <c r="N313" s="1">
        <v>601.0</v>
      </c>
      <c r="O313" s="1">
        <v>3817.0</v>
      </c>
      <c r="P313" s="4">
        <f t="shared" si="1"/>
        <v>6</v>
      </c>
      <c r="Q313" s="4" t="str">
        <f t="shared" si="2"/>
        <v>Saturday</v>
      </c>
      <c r="R313" s="4">
        <f t="shared" si="3"/>
        <v>15.68000031</v>
      </c>
      <c r="S313" s="2">
        <f t="shared" si="4"/>
        <v>0.2002164502</v>
      </c>
      <c r="T313" s="4" t="str">
        <f t="shared" si="5"/>
        <v>High</v>
      </c>
    </row>
    <row r="314">
      <c r="A314" s="1">
        <v>5.577150313E9</v>
      </c>
      <c r="B314" s="3">
        <v>42470.0</v>
      </c>
      <c r="C314" s="1">
        <v>9776.0</v>
      </c>
      <c r="D314" s="1">
        <v>7.38000011444092</v>
      </c>
      <c r="E314" s="1">
        <v>7.38000011444092</v>
      </c>
      <c r="F314" s="1">
        <v>0.0</v>
      </c>
      <c r="G314" s="1">
        <v>2.9300000667572</v>
      </c>
      <c r="H314" s="1">
        <v>1.42999994754791</v>
      </c>
      <c r="I314" s="1">
        <v>3.01999998092651</v>
      </c>
      <c r="J314" s="1">
        <v>0.0</v>
      </c>
      <c r="K314" s="1">
        <v>80.0</v>
      </c>
      <c r="L314" s="1">
        <v>35.0</v>
      </c>
      <c r="M314" s="1">
        <v>162.0</v>
      </c>
      <c r="N314" s="1">
        <v>721.0</v>
      </c>
      <c r="O314" s="1">
        <v>3378.0</v>
      </c>
      <c r="P314" s="4">
        <f t="shared" si="1"/>
        <v>7</v>
      </c>
      <c r="Q314" s="4" t="str">
        <f t="shared" si="2"/>
        <v>Sunday</v>
      </c>
      <c r="R314" s="4">
        <f t="shared" si="3"/>
        <v>14.76000023</v>
      </c>
      <c r="S314" s="2">
        <f t="shared" si="4"/>
        <v>0.1152304609</v>
      </c>
      <c r="T314" s="4" t="str">
        <f t="shared" si="5"/>
        <v>High</v>
      </c>
    </row>
    <row r="315">
      <c r="A315" s="1">
        <v>5.577150313E9</v>
      </c>
      <c r="B315" s="3">
        <v>42471.0</v>
      </c>
      <c r="C315" s="1">
        <v>2862.0</v>
      </c>
      <c r="D315" s="1">
        <v>2.14000010490417</v>
      </c>
      <c r="E315" s="1">
        <v>2.14000010490417</v>
      </c>
      <c r="F315" s="1">
        <v>0.0</v>
      </c>
      <c r="G315" s="1">
        <v>1.03999996185303</v>
      </c>
      <c r="H315" s="1">
        <v>0.25</v>
      </c>
      <c r="I315" s="1">
        <v>0.839999973773956</v>
      </c>
      <c r="J315" s="1">
        <v>0.0</v>
      </c>
      <c r="K315" s="1">
        <v>39.0</v>
      </c>
      <c r="L315" s="1">
        <v>17.0</v>
      </c>
      <c r="M315" s="1">
        <v>54.0</v>
      </c>
      <c r="N315" s="1">
        <v>209.0</v>
      </c>
      <c r="O315" s="1">
        <v>1511.0</v>
      </c>
      <c r="P315" s="4">
        <f t="shared" si="1"/>
        <v>1</v>
      </c>
      <c r="Q315" s="4" t="str">
        <f t="shared" si="2"/>
        <v>Monday</v>
      </c>
      <c r="R315" s="4">
        <f t="shared" si="3"/>
        <v>4.28000021</v>
      </c>
      <c r="S315" s="2">
        <f t="shared" si="4"/>
        <v>0.1755485893</v>
      </c>
      <c r="T315" s="4" t="str">
        <f t="shared" si="5"/>
        <v>High</v>
      </c>
    </row>
    <row r="316">
      <c r="A316" s="1">
        <v>6.11766616E9</v>
      </c>
      <c r="B316" s="3">
        <v>42461.0</v>
      </c>
      <c r="C316" s="1">
        <v>7444.0</v>
      </c>
      <c r="D316" s="1">
        <v>5.61999988555908</v>
      </c>
      <c r="E316" s="1">
        <v>5.61999988555908</v>
      </c>
      <c r="F316" s="1">
        <v>0.0</v>
      </c>
      <c r="G316" s="1">
        <v>0.0</v>
      </c>
      <c r="H316" s="1">
        <v>0.0</v>
      </c>
      <c r="I316" s="1">
        <v>5.61999988555908</v>
      </c>
      <c r="J316" s="1">
        <v>0.0</v>
      </c>
      <c r="K316" s="1">
        <v>0.0</v>
      </c>
      <c r="L316" s="1">
        <v>0.0</v>
      </c>
      <c r="M316" s="1">
        <v>286.0</v>
      </c>
      <c r="N316" s="1">
        <v>568.0</v>
      </c>
      <c r="O316" s="1">
        <v>2210.0</v>
      </c>
      <c r="P316" s="4">
        <f t="shared" si="1"/>
        <v>5</v>
      </c>
      <c r="Q316" s="4" t="str">
        <f t="shared" si="2"/>
        <v>Friday</v>
      </c>
      <c r="R316" s="4">
        <f t="shared" si="3"/>
        <v>11.23999977</v>
      </c>
      <c r="S316" s="2">
        <f t="shared" si="4"/>
        <v>0</v>
      </c>
      <c r="T316" s="4" t="str">
        <f t="shared" si="5"/>
        <v>Low</v>
      </c>
    </row>
    <row r="317">
      <c r="A317" s="1">
        <v>6.11766616E9</v>
      </c>
      <c r="B317" s="3">
        <v>42462.0</v>
      </c>
      <c r="C317" s="1">
        <v>19658.0</v>
      </c>
      <c r="D317" s="1">
        <v>14.8400001525879</v>
      </c>
      <c r="E317" s="1">
        <v>14.8400001525879</v>
      </c>
      <c r="F317" s="1">
        <v>0.0</v>
      </c>
      <c r="G317" s="1">
        <v>0.239999994635582</v>
      </c>
      <c r="H317" s="1">
        <v>2.08999991416931</v>
      </c>
      <c r="I317" s="1">
        <v>12.5100002288818</v>
      </c>
      <c r="J317" s="1">
        <v>0.0</v>
      </c>
      <c r="K317" s="1">
        <v>3.0</v>
      </c>
      <c r="L317" s="1">
        <v>30.0</v>
      </c>
      <c r="M317" s="1">
        <v>475.0</v>
      </c>
      <c r="N317" s="1">
        <v>466.0</v>
      </c>
      <c r="O317" s="1">
        <v>2884.0</v>
      </c>
      <c r="P317" s="4">
        <f t="shared" si="1"/>
        <v>6</v>
      </c>
      <c r="Q317" s="4" t="str">
        <f t="shared" si="2"/>
        <v>Saturday</v>
      </c>
      <c r="R317" s="4">
        <f t="shared" si="3"/>
        <v>29.68000031</v>
      </c>
      <c r="S317" s="2">
        <f t="shared" si="4"/>
        <v>0.03388090349</v>
      </c>
      <c r="T317" s="4" t="str">
        <f t="shared" si="5"/>
        <v>Low</v>
      </c>
    </row>
    <row r="318">
      <c r="A318" s="1">
        <v>6.11766616E9</v>
      </c>
      <c r="B318" s="3">
        <v>42463.0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1440.0</v>
      </c>
      <c r="O318" s="1">
        <v>1496.0</v>
      </c>
      <c r="P318" s="4">
        <f t="shared" si="1"/>
        <v>7</v>
      </c>
      <c r="Q318" s="4" t="str">
        <f t="shared" si="2"/>
        <v>Sunday</v>
      </c>
      <c r="R318" s="4">
        <f t="shared" si="3"/>
        <v>0</v>
      </c>
      <c r="S318" s="2">
        <f t="shared" si="4"/>
        <v>0</v>
      </c>
      <c r="T318" s="4" t="str">
        <f t="shared" si="5"/>
        <v>Low</v>
      </c>
    </row>
    <row r="319">
      <c r="A319" s="1">
        <v>6.11766616E9</v>
      </c>
      <c r="B319" s="3">
        <v>42464.0</v>
      </c>
      <c r="C319" s="1">
        <v>8468.0</v>
      </c>
      <c r="D319" s="1">
        <v>6.3899998664856</v>
      </c>
      <c r="E319" s="1">
        <v>6.3899998664856</v>
      </c>
      <c r="F319" s="1">
        <v>0.0</v>
      </c>
      <c r="G319" s="1">
        <v>0.180000007152557</v>
      </c>
      <c r="H319" s="1">
        <v>0.639999985694885</v>
      </c>
      <c r="I319" s="1">
        <v>5.57000017166138</v>
      </c>
      <c r="J319" s="1">
        <v>0.0</v>
      </c>
      <c r="K319" s="1">
        <v>2.0</v>
      </c>
      <c r="L319" s="1">
        <v>11.0</v>
      </c>
      <c r="M319" s="1">
        <v>279.0</v>
      </c>
      <c r="N319" s="1">
        <v>1148.0</v>
      </c>
      <c r="O319" s="1">
        <v>2262.0</v>
      </c>
      <c r="P319" s="4">
        <f t="shared" si="1"/>
        <v>1</v>
      </c>
      <c r="Q319" s="4" t="str">
        <f t="shared" si="2"/>
        <v>Monday</v>
      </c>
      <c r="R319" s="4">
        <f t="shared" si="3"/>
        <v>12.77999973</v>
      </c>
      <c r="S319" s="2">
        <f t="shared" si="4"/>
        <v>0.009027777778</v>
      </c>
      <c r="T319" s="4" t="str">
        <f t="shared" si="5"/>
        <v>Low</v>
      </c>
    </row>
    <row r="320">
      <c r="A320" s="1">
        <v>6.11766616E9</v>
      </c>
      <c r="B320" s="3">
        <v>42465.0</v>
      </c>
      <c r="C320" s="1">
        <v>9910.0</v>
      </c>
      <c r="D320" s="1">
        <v>7.48000001907349</v>
      </c>
      <c r="E320" s="1">
        <v>7.48000001907349</v>
      </c>
      <c r="F320" s="1">
        <v>0.0</v>
      </c>
      <c r="G320" s="1">
        <v>0.0</v>
      </c>
      <c r="H320" s="1">
        <v>0.0</v>
      </c>
      <c r="I320" s="1">
        <v>7.48000001907349</v>
      </c>
      <c r="J320" s="1">
        <v>0.0</v>
      </c>
      <c r="K320" s="1">
        <v>0.0</v>
      </c>
      <c r="L320" s="1">
        <v>0.0</v>
      </c>
      <c r="M320" s="1">
        <v>384.0</v>
      </c>
      <c r="N320" s="1">
        <v>990.0</v>
      </c>
      <c r="O320" s="1">
        <v>2445.0</v>
      </c>
      <c r="P320" s="4">
        <f t="shared" si="1"/>
        <v>2</v>
      </c>
      <c r="Q320" s="4" t="str">
        <f t="shared" si="2"/>
        <v>Tuesday</v>
      </c>
      <c r="R320" s="4">
        <f t="shared" si="3"/>
        <v>14.96000004</v>
      </c>
      <c r="S320" s="2">
        <f t="shared" si="4"/>
        <v>0</v>
      </c>
      <c r="T320" s="4" t="str">
        <f t="shared" si="5"/>
        <v>Low</v>
      </c>
    </row>
    <row r="321">
      <c r="A321" s="1">
        <v>6.11766616E9</v>
      </c>
      <c r="B321" s="3">
        <v>42466.0</v>
      </c>
      <c r="C321" s="1">
        <v>12409.0</v>
      </c>
      <c r="D321" s="1">
        <v>9.36999988555908</v>
      </c>
      <c r="E321" s="1">
        <v>9.36999988555908</v>
      </c>
      <c r="F321" s="1">
        <v>0.0</v>
      </c>
      <c r="G321" s="1">
        <v>0.0</v>
      </c>
      <c r="H321" s="1">
        <v>0.0</v>
      </c>
      <c r="I321" s="1">
        <v>9.36999988555908</v>
      </c>
      <c r="J321" s="1">
        <v>0.0</v>
      </c>
      <c r="K321" s="1">
        <v>0.0</v>
      </c>
      <c r="L321" s="1">
        <v>0.0</v>
      </c>
      <c r="M321" s="1">
        <v>491.0</v>
      </c>
      <c r="N321" s="1">
        <v>388.0</v>
      </c>
      <c r="O321" s="1">
        <v>2694.0</v>
      </c>
      <c r="P321" s="4">
        <f t="shared" si="1"/>
        <v>3</v>
      </c>
      <c r="Q321" s="4" t="str">
        <f t="shared" si="2"/>
        <v>Wednesday</v>
      </c>
      <c r="R321" s="4">
        <f t="shared" si="3"/>
        <v>18.73999977</v>
      </c>
      <c r="S321" s="2">
        <f t="shared" si="4"/>
        <v>0</v>
      </c>
      <c r="T321" s="4" t="str">
        <f t="shared" si="5"/>
        <v>Low</v>
      </c>
    </row>
    <row r="322">
      <c r="A322" s="1">
        <v>6.11766616E9</v>
      </c>
      <c r="B322" s="3">
        <v>42467.0</v>
      </c>
      <c r="C322" s="1">
        <v>4853.0</v>
      </c>
      <c r="D322" s="1">
        <v>3.66000008583069</v>
      </c>
      <c r="E322" s="1">
        <v>3.66000008583069</v>
      </c>
      <c r="F322" s="1">
        <v>0.0</v>
      </c>
      <c r="G322" s="1">
        <v>0.0</v>
      </c>
      <c r="H322" s="1">
        <v>0.0</v>
      </c>
      <c r="I322" s="1">
        <v>3.66000008583069</v>
      </c>
      <c r="J322" s="1">
        <v>0.0</v>
      </c>
      <c r="K322" s="1">
        <v>0.0</v>
      </c>
      <c r="L322" s="1">
        <v>0.0</v>
      </c>
      <c r="M322" s="1">
        <v>156.0</v>
      </c>
      <c r="N322" s="1">
        <v>770.0</v>
      </c>
      <c r="O322" s="1">
        <v>1903.0</v>
      </c>
      <c r="P322" s="4">
        <f t="shared" si="1"/>
        <v>4</v>
      </c>
      <c r="Q322" s="4" t="str">
        <f t="shared" si="2"/>
        <v>Thursday</v>
      </c>
      <c r="R322" s="4">
        <f t="shared" si="3"/>
        <v>7.320000172</v>
      </c>
      <c r="S322" s="2">
        <f t="shared" si="4"/>
        <v>0</v>
      </c>
      <c r="T322" s="4" t="str">
        <f t="shared" si="5"/>
        <v>Low</v>
      </c>
    </row>
    <row r="323">
      <c r="A323" s="1">
        <v>6.11766616E9</v>
      </c>
      <c r="B323" s="3">
        <v>42468.0</v>
      </c>
      <c r="C323" s="1">
        <v>8955.0</v>
      </c>
      <c r="D323" s="1">
        <v>6.76000022888184</v>
      </c>
      <c r="E323" s="1">
        <v>6.76000022888184</v>
      </c>
      <c r="F323" s="1">
        <v>0.0</v>
      </c>
      <c r="G323" s="1">
        <v>0.0</v>
      </c>
      <c r="H323" s="1">
        <v>0.0</v>
      </c>
      <c r="I323" s="1">
        <v>6.73000001907349</v>
      </c>
      <c r="J323" s="1">
        <v>0.0</v>
      </c>
      <c r="K323" s="1">
        <v>0.0</v>
      </c>
      <c r="L323" s="1">
        <v>0.0</v>
      </c>
      <c r="M323" s="1">
        <v>422.0</v>
      </c>
      <c r="N323" s="1">
        <v>1018.0</v>
      </c>
      <c r="O323" s="1">
        <v>2482.0</v>
      </c>
      <c r="P323" s="4">
        <f t="shared" si="1"/>
        <v>5</v>
      </c>
      <c r="Q323" s="4" t="str">
        <f t="shared" si="2"/>
        <v>Friday</v>
      </c>
      <c r="R323" s="4">
        <f t="shared" si="3"/>
        <v>13.52000046</v>
      </c>
      <c r="S323" s="2">
        <f t="shared" si="4"/>
        <v>0</v>
      </c>
      <c r="T323" s="4" t="str">
        <f t="shared" si="5"/>
        <v>Low</v>
      </c>
    </row>
    <row r="324">
      <c r="A324" s="1">
        <v>6.11766616E9</v>
      </c>
      <c r="B324" s="3">
        <v>42469.0</v>
      </c>
      <c r="C324" s="1">
        <v>10789.0</v>
      </c>
      <c r="D324" s="1">
        <v>8.14999961853027</v>
      </c>
      <c r="E324" s="1">
        <v>8.14999961853027</v>
      </c>
      <c r="F324" s="1">
        <v>0.0</v>
      </c>
      <c r="G324" s="1">
        <v>0.0</v>
      </c>
      <c r="H324" s="1">
        <v>0.0</v>
      </c>
      <c r="I324" s="1">
        <v>8.14999961853027</v>
      </c>
      <c r="J324" s="1">
        <v>0.0</v>
      </c>
      <c r="K324" s="1">
        <v>0.0</v>
      </c>
      <c r="L324" s="1">
        <v>0.0</v>
      </c>
      <c r="M324" s="1">
        <v>506.0</v>
      </c>
      <c r="N324" s="1">
        <v>413.0</v>
      </c>
      <c r="O324" s="1">
        <v>2617.0</v>
      </c>
      <c r="P324" s="4">
        <f t="shared" si="1"/>
        <v>6</v>
      </c>
      <c r="Q324" s="4" t="str">
        <f t="shared" si="2"/>
        <v>Saturday</v>
      </c>
      <c r="R324" s="4">
        <f t="shared" si="3"/>
        <v>16.29999924</v>
      </c>
      <c r="S324" s="2">
        <f t="shared" si="4"/>
        <v>0</v>
      </c>
      <c r="T324" s="4" t="str">
        <f t="shared" si="5"/>
        <v>Low</v>
      </c>
    </row>
    <row r="325">
      <c r="A325" s="1">
        <v>6.11766616E9</v>
      </c>
      <c r="B325" s="3">
        <v>42470.0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1440.0</v>
      </c>
      <c r="O325" s="1">
        <v>0.0</v>
      </c>
      <c r="P325" s="4">
        <f t="shared" si="1"/>
        <v>7</v>
      </c>
      <c r="Q325" s="4" t="str">
        <f t="shared" si="2"/>
        <v>Sunday</v>
      </c>
      <c r="R325" s="4">
        <f t="shared" si="3"/>
        <v>0</v>
      </c>
      <c r="S325" s="2">
        <f t="shared" si="4"/>
        <v>0</v>
      </c>
      <c r="T325" s="4" t="str">
        <f t="shared" si="5"/>
        <v>Low</v>
      </c>
    </row>
    <row r="326">
      <c r="A326" s="1">
        <v>6.290855005E9</v>
      </c>
      <c r="B326" s="3">
        <v>42461.0</v>
      </c>
      <c r="C326" s="1">
        <v>6633.0</v>
      </c>
      <c r="D326" s="1">
        <v>5.01000022888184</v>
      </c>
      <c r="E326" s="1">
        <v>5.01000022888184</v>
      </c>
      <c r="F326" s="1">
        <v>0.0</v>
      </c>
      <c r="G326" s="1">
        <v>0.0</v>
      </c>
      <c r="H326" s="1">
        <v>0.0</v>
      </c>
      <c r="I326" s="1">
        <v>5.01000022888184</v>
      </c>
      <c r="J326" s="1">
        <v>0.0</v>
      </c>
      <c r="K326" s="1">
        <v>0.0</v>
      </c>
      <c r="L326" s="1">
        <v>0.0</v>
      </c>
      <c r="M326" s="1">
        <v>280.0</v>
      </c>
      <c r="N326" s="1">
        <v>1160.0</v>
      </c>
      <c r="O326" s="1">
        <v>2778.0</v>
      </c>
      <c r="P326" s="4">
        <f t="shared" si="1"/>
        <v>5</v>
      </c>
      <c r="Q326" s="4" t="str">
        <f t="shared" si="2"/>
        <v>Friday</v>
      </c>
      <c r="R326" s="4">
        <f t="shared" si="3"/>
        <v>10.02000046</v>
      </c>
      <c r="S326" s="2">
        <f t="shared" si="4"/>
        <v>0</v>
      </c>
      <c r="T326" s="4" t="str">
        <f t="shared" si="5"/>
        <v>Low</v>
      </c>
    </row>
    <row r="327">
      <c r="A327" s="1">
        <v>6.290855005E9</v>
      </c>
      <c r="B327" s="3">
        <v>42462.0</v>
      </c>
      <c r="C327" s="1">
        <v>9548.0</v>
      </c>
      <c r="D327" s="1">
        <v>7.21999979019165</v>
      </c>
      <c r="E327" s="1">
        <v>7.21999979019165</v>
      </c>
      <c r="F327" s="1">
        <v>0.0</v>
      </c>
      <c r="G327" s="1">
        <v>2.01999998092651</v>
      </c>
      <c r="H327" s="1">
        <v>3.6800000667572</v>
      </c>
      <c r="I327" s="1">
        <v>1.51999998092651</v>
      </c>
      <c r="J327" s="1">
        <v>0.0</v>
      </c>
      <c r="K327" s="1">
        <v>25.0</v>
      </c>
      <c r="L327" s="1">
        <v>107.0</v>
      </c>
      <c r="M327" s="1">
        <v>113.0</v>
      </c>
      <c r="N327" s="1">
        <v>1195.0</v>
      </c>
      <c r="O327" s="1">
        <v>3119.0</v>
      </c>
      <c r="P327" s="4">
        <f t="shared" si="1"/>
        <v>6</v>
      </c>
      <c r="Q327" s="4" t="str">
        <f t="shared" si="2"/>
        <v>Saturday</v>
      </c>
      <c r="R327" s="4">
        <f t="shared" si="3"/>
        <v>14.43999958</v>
      </c>
      <c r="S327" s="2">
        <f t="shared" si="4"/>
        <v>0.09166666667</v>
      </c>
      <c r="T327" s="4" t="str">
        <f t="shared" si="5"/>
        <v>Moderate</v>
      </c>
    </row>
    <row r="328">
      <c r="A328" s="1">
        <v>6.290855005E9</v>
      </c>
      <c r="B328" s="3">
        <v>42463.0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33.0</v>
      </c>
      <c r="L328" s="1">
        <v>0.0</v>
      </c>
      <c r="M328" s="1">
        <v>0.0</v>
      </c>
      <c r="N328" s="1">
        <v>1407.0</v>
      </c>
      <c r="O328" s="1">
        <v>2664.0</v>
      </c>
      <c r="P328" s="4">
        <f t="shared" si="1"/>
        <v>7</v>
      </c>
      <c r="Q328" s="4" t="str">
        <f t="shared" si="2"/>
        <v>Sunday</v>
      </c>
      <c r="R328" s="4">
        <f t="shared" si="3"/>
        <v>0</v>
      </c>
      <c r="S328" s="2">
        <f t="shared" si="4"/>
        <v>0.02291666667</v>
      </c>
      <c r="T328" s="4" t="str">
        <f t="shared" si="5"/>
        <v>High</v>
      </c>
    </row>
    <row r="329">
      <c r="A329" s="1">
        <v>6.290855005E9</v>
      </c>
      <c r="B329" s="3">
        <v>42464.0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1440.0</v>
      </c>
      <c r="O329" s="1">
        <v>2060.0</v>
      </c>
      <c r="P329" s="4">
        <f t="shared" si="1"/>
        <v>1</v>
      </c>
      <c r="Q329" s="4" t="str">
        <f t="shared" si="2"/>
        <v>Monday</v>
      </c>
      <c r="R329" s="4">
        <f t="shared" si="3"/>
        <v>0</v>
      </c>
      <c r="S329" s="2">
        <f t="shared" si="4"/>
        <v>0</v>
      </c>
      <c r="T329" s="4" t="str">
        <f t="shared" si="5"/>
        <v>Low</v>
      </c>
    </row>
    <row r="330">
      <c r="A330" s="1">
        <v>6.290855005E9</v>
      </c>
      <c r="B330" s="3">
        <v>42465.0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1440.0</v>
      </c>
      <c r="O330" s="1">
        <v>2060.0</v>
      </c>
      <c r="P330" s="4">
        <f t="shared" si="1"/>
        <v>2</v>
      </c>
      <c r="Q330" s="4" t="str">
        <f t="shared" si="2"/>
        <v>Tuesday</v>
      </c>
      <c r="R330" s="4">
        <f t="shared" si="3"/>
        <v>0</v>
      </c>
      <c r="S330" s="2">
        <f t="shared" si="4"/>
        <v>0</v>
      </c>
      <c r="T330" s="4" t="str">
        <f t="shared" si="5"/>
        <v>Low</v>
      </c>
    </row>
    <row r="331">
      <c r="A331" s="1">
        <v>6.290855005E9</v>
      </c>
      <c r="B331" s="3">
        <v>42466.0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1440.0</v>
      </c>
      <c r="O331" s="1">
        <v>2060.0</v>
      </c>
      <c r="P331" s="4">
        <f t="shared" si="1"/>
        <v>3</v>
      </c>
      <c r="Q331" s="4" t="str">
        <f t="shared" si="2"/>
        <v>Wednesday</v>
      </c>
      <c r="R331" s="4">
        <f t="shared" si="3"/>
        <v>0</v>
      </c>
      <c r="S331" s="2">
        <f t="shared" si="4"/>
        <v>0</v>
      </c>
      <c r="T331" s="4" t="str">
        <f t="shared" si="5"/>
        <v>Low</v>
      </c>
    </row>
    <row r="332">
      <c r="A332" s="1">
        <v>6.290855005E9</v>
      </c>
      <c r="B332" s="3">
        <v>42467.0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1440.0</v>
      </c>
      <c r="O332" s="1">
        <v>2060.0</v>
      </c>
      <c r="P332" s="4">
        <f t="shared" si="1"/>
        <v>4</v>
      </c>
      <c r="Q332" s="4" t="str">
        <f t="shared" si="2"/>
        <v>Thursday</v>
      </c>
      <c r="R332" s="4">
        <f t="shared" si="3"/>
        <v>0</v>
      </c>
      <c r="S332" s="2">
        <f t="shared" si="4"/>
        <v>0</v>
      </c>
      <c r="T332" s="4" t="str">
        <f t="shared" si="5"/>
        <v>Low</v>
      </c>
    </row>
    <row r="333">
      <c r="A333" s="1">
        <v>6.290855005E9</v>
      </c>
      <c r="B333" s="3">
        <v>42468.0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1440.0</v>
      </c>
      <c r="O333" s="1">
        <v>2060.0</v>
      </c>
      <c r="P333" s="4">
        <f t="shared" si="1"/>
        <v>5</v>
      </c>
      <c r="Q333" s="4" t="str">
        <f t="shared" si="2"/>
        <v>Friday</v>
      </c>
      <c r="R333" s="4">
        <f t="shared" si="3"/>
        <v>0</v>
      </c>
      <c r="S333" s="2">
        <f t="shared" si="4"/>
        <v>0</v>
      </c>
      <c r="T333" s="4" t="str">
        <f t="shared" si="5"/>
        <v>Low</v>
      </c>
    </row>
    <row r="334">
      <c r="A334" s="1">
        <v>6.290855005E9</v>
      </c>
      <c r="B334" s="3">
        <v>42469.0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1440.0</v>
      </c>
      <c r="O334" s="1">
        <v>2060.0</v>
      </c>
      <c r="P334" s="4">
        <f t="shared" si="1"/>
        <v>6</v>
      </c>
      <c r="Q334" s="4" t="str">
        <f t="shared" si="2"/>
        <v>Saturday</v>
      </c>
      <c r="R334" s="4">
        <f t="shared" si="3"/>
        <v>0</v>
      </c>
      <c r="S334" s="2">
        <f t="shared" si="4"/>
        <v>0</v>
      </c>
      <c r="T334" s="4" t="str">
        <f t="shared" si="5"/>
        <v>Low</v>
      </c>
    </row>
    <row r="335">
      <c r="A335" s="1">
        <v>6.290855005E9</v>
      </c>
      <c r="B335" s="3">
        <v>42470.0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20.0</v>
      </c>
      <c r="L335" s="1">
        <v>0.0</v>
      </c>
      <c r="M335" s="1">
        <v>0.0</v>
      </c>
      <c r="N335" s="1">
        <v>494.0</v>
      </c>
      <c r="O335" s="1">
        <v>735.0</v>
      </c>
      <c r="P335" s="4">
        <f t="shared" si="1"/>
        <v>7</v>
      </c>
      <c r="Q335" s="4" t="str">
        <f t="shared" si="2"/>
        <v>Sunday</v>
      </c>
      <c r="R335" s="4">
        <f t="shared" si="3"/>
        <v>0</v>
      </c>
      <c r="S335" s="2">
        <f t="shared" si="4"/>
        <v>0.03891050584</v>
      </c>
      <c r="T335" s="4" t="str">
        <f t="shared" si="5"/>
        <v>Moderate</v>
      </c>
    </row>
    <row r="336">
      <c r="A336" s="1">
        <v>6.391747486E9</v>
      </c>
      <c r="B336" s="3">
        <v>42461.0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1440.0</v>
      </c>
      <c r="O336" s="1">
        <v>1820.0</v>
      </c>
      <c r="P336" s="4">
        <f t="shared" si="1"/>
        <v>5</v>
      </c>
      <c r="Q336" s="4" t="str">
        <f t="shared" si="2"/>
        <v>Friday</v>
      </c>
      <c r="R336" s="4">
        <f t="shared" si="3"/>
        <v>0</v>
      </c>
      <c r="S336" s="2">
        <f t="shared" si="4"/>
        <v>0</v>
      </c>
      <c r="T336" s="4" t="str">
        <f t="shared" si="5"/>
        <v>Low</v>
      </c>
    </row>
    <row r="337">
      <c r="A337" s="1">
        <v>6.391747486E9</v>
      </c>
      <c r="B337" s="3">
        <v>42462.0</v>
      </c>
      <c r="C337" s="1">
        <v>2101.0</v>
      </c>
      <c r="D337" s="1">
        <v>2.02999997138977</v>
      </c>
      <c r="E337" s="1">
        <v>0.0</v>
      </c>
      <c r="F337" s="1">
        <v>2.02777290344238</v>
      </c>
      <c r="G337" s="1">
        <v>2.02999997138977</v>
      </c>
      <c r="H337" s="1">
        <v>0.0</v>
      </c>
      <c r="I337" s="1">
        <v>0.0</v>
      </c>
      <c r="J337" s="1">
        <v>0.0</v>
      </c>
      <c r="K337" s="1">
        <v>46.0</v>
      </c>
      <c r="L337" s="1">
        <v>0.0</v>
      </c>
      <c r="M337" s="1">
        <v>0.0</v>
      </c>
      <c r="N337" s="1">
        <v>1394.0</v>
      </c>
      <c r="O337" s="1">
        <v>2224.0</v>
      </c>
      <c r="P337" s="4">
        <f t="shared" si="1"/>
        <v>6</v>
      </c>
      <c r="Q337" s="4" t="str">
        <f t="shared" si="2"/>
        <v>Saturday</v>
      </c>
      <c r="R337" s="4">
        <f t="shared" si="3"/>
        <v>4.057772875</v>
      </c>
      <c r="S337" s="2">
        <f t="shared" si="4"/>
        <v>0.03194444444</v>
      </c>
      <c r="T337" s="4" t="str">
        <f t="shared" si="5"/>
        <v>High</v>
      </c>
    </row>
    <row r="338">
      <c r="A338" s="1">
        <v>6.391747486E9</v>
      </c>
      <c r="B338" s="3">
        <v>42463.0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1440.0</v>
      </c>
      <c r="O338" s="1">
        <v>1820.0</v>
      </c>
      <c r="P338" s="4">
        <f t="shared" si="1"/>
        <v>7</v>
      </c>
      <c r="Q338" s="4" t="str">
        <f t="shared" si="2"/>
        <v>Sunday</v>
      </c>
      <c r="R338" s="4">
        <f t="shared" si="3"/>
        <v>0</v>
      </c>
      <c r="S338" s="2">
        <f t="shared" si="4"/>
        <v>0</v>
      </c>
      <c r="T338" s="4" t="str">
        <f t="shared" si="5"/>
        <v>Low</v>
      </c>
    </row>
    <row r="339">
      <c r="A339" s="1">
        <v>6.391747486E9</v>
      </c>
      <c r="B339" s="3">
        <v>42464.0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1440.0</v>
      </c>
      <c r="O339" s="1">
        <v>1820.0</v>
      </c>
      <c r="P339" s="4">
        <f t="shared" si="1"/>
        <v>1</v>
      </c>
      <c r="Q339" s="4" t="str">
        <f t="shared" si="2"/>
        <v>Monday</v>
      </c>
      <c r="R339" s="4">
        <f t="shared" si="3"/>
        <v>0</v>
      </c>
      <c r="S339" s="2">
        <f t="shared" si="4"/>
        <v>0</v>
      </c>
      <c r="T339" s="4" t="str">
        <f t="shared" si="5"/>
        <v>Low</v>
      </c>
    </row>
    <row r="340">
      <c r="A340" s="1">
        <v>6.391747486E9</v>
      </c>
      <c r="B340" s="3">
        <v>42465.0</v>
      </c>
      <c r="C340" s="1">
        <v>9766.0</v>
      </c>
      <c r="D340" s="1">
        <v>7.51000022888184</v>
      </c>
      <c r="E340" s="1">
        <v>0.779999971389771</v>
      </c>
      <c r="F340" s="1">
        <v>6.72705698013306</v>
      </c>
      <c r="G340" s="1">
        <v>0.0</v>
      </c>
      <c r="H340" s="1">
        <v>0.0500000007450581</v>
      </c>
      <c r="I340" s="1">
        <v>7.46000003814697</v>
      </c>
      <c r="J340" s="1">
        <v>0.0</v>
      </c>
      <c r="K340" s="1">
        <v>0.0</v>
      </c>
      <c r="L340" s="1">
        <v>6.0</v>
      </c>
      <c r="M340" s="1">
        <v>301.0</v>
      </c>
      <c r="N340" s="1">
        <v>1133.0</v>
      </c>
      <c r="O340" s="1">
        <v>2442.0</v>
      </c>
      <c r="P340" s="4">
        <f t="shared" si="1"/>
        <v>2</v>
      </c>
      <c r="Q340" s="4" t="str">
        <f t="shared" si="2"/>
        <v>Tuesday</v>
      </c>
      <c r="R340" s="4">
        <f t="shared" si="3"/>
        <v>15.01705718</v>
      </c>
      <c r="S340" s="2">
        <f t="shared" si="4"/>
        <v>0.004166666667</v>
      </c>
      <c r="T340" s="4" t="str">
        <f t="shared" si="5"/>
        <v>Low</v>
      </c>
    </row>
    <row r="341">
      <c r="A341" s="1">
        <v>6.391747486E9</v>
      </c>
      <c r="B341" s="3">
        <v>42466.0</v>
      </c>
      <c r="C341" s="1">
        <v>165.0</v>
      </c>
      <c r="D341" s="1">
        <v>0.129999995231628</v>
      </c>
      <c r="E341" s="1">
        <v>0.129999995231628</v>
      </c>
      <c r="F341" s="1">
        <v>0.0</v>
      </c>
      <c r="G341" s="1">
        <v>0.0</v>
      </c>
      <c r="H341" s="1">
        <v>0.0</v>
      </c>
      <c r="I341" s="1">
        <v>0.129999995231628</v>
      </c>
      <c r="J341" s="1">
        <v>0.0</v>
      </c>
      <c r="K341" s="1">
        <v>0.0</v>
      </c>
      <c r="L341" s="1">
        <v>0.0</v>
      </c>
      <c r="M341" s="1">
        <v>8.0</v>
      </c>
      <c r="N341" s="1">
        <v>1432.0</v>
      </c>
      <c r="O341" s="1">
        <v>1849.0</v>
      </c>
      <c r="P341" s="4">
        <f t="shared" si="1"/>
        <v>3</v>
      </c>
      <c r="Q341" s="4" t="str">
        <f t="shared" si="2"/>
        <v>Wednesday</v>
      </c>
      <c r="R341" s="4">
        <f t="shared" si="3"/>
        <v>0.2599999905</v>
      </c>
      <c r="S341" s="2">
        <f t="shared" si="4"/>
        <v>0</v>
      </c>
      <c r="T341" s="4" t="str">
        <f t="shared" si="5"/>
        <v>Low</v>
      </c>
    </row>
    <row r="342">
      <c r="A342" s="1">
        <v>6.391747486E9</v>
      </c>
      <c r="B342" s="3">
        <v>42467.0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1440.0</v>
      </c>
      <c r="O342" s="1">
        <v>1822.0</v>
      </c>
      <c r="P342" s="4">
        <f t="shared" si="1"/>
        <v>4</v>
      </c>
      <c r="Q342" s="4" t="str">
        <f t="shared" si="2"/>
        <v>Thursday</v>
      </c>
      <c r="R342" s="4">
        <f t="shared" si="3"/>
        <v>0</v>
      </c>
      <c r="S342" s="2">
        <f t="shared" si="4"/>
        <v>0</v>
      </c>
      <c r="T342" s="4" t="str">
        <f t="shared" si="5"/>
        <v>Low</v>
      </c>
    </row>
    <row r="343">
      <c r="A343" s="1">
        <v>6.391747486E9</v>
      </c>
      <c r="B343" s="3">
        <v>42468.0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1440.0</v>
      </c>
      <c r="O343" s="1">
        <v>1820.0</v>
      </c>
      <c r="P343" s="4">
        <f t="shared" si="1"/>
        <v>5</v>
      </c>
      <c r="Q343" s="4" t="str">
        <f t="shared" si="2"/>
        <v>Friday</v>
      </c>
      <c r="R343" s="4">
        <f t="shared" si="3"/>
        <v>0</v>
      </c>
      <c r="S343" s="2">
        <f t="shared" si="4"/>
        <v>0</v>
      </c>
      <c r="T343" s="4" t="str">
        <f t="shared" si="5"/>
        <v>Low</v>
      </c>
    </row>
    <row r="344">
      <c r="A344" s="1">
        <v>6.391747486E9</v>
      </c>
      <c r="B344" s="3">
        <v>42469.0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198.0</v>
      </c>
      <c r="O344" s="1">
        <v>251.0</v>
      </c>
      <c r="P344" s="4">
        <f t="shared" si="1"/>
        <v>6</v>
      </c>
      <c r="Q344" s="4" t="str">
        <f t="shared" si="2"/>
        <v>Saturday</v>
      </c>
      <c r="R344" s="4">
        <f t="shared" si="3"/>
        <v>0</v>
      </c>
      <c r="S344" s="2">
        <f t="shared" si="4"/>
        <v>0</v>
      </c>
      <c r="T344" s="4" t="str">
        <f t="shared" si="5"/>
        <v>Low</v>
      </c>
    </row>
    <row r="345">
      <c r="A345" s="1">
        <v>6.775888955E9</v>
      </c>
      <c r="B345" s="3">
        <v>42461.0</v>
      </c>
      <c r="C345" s="1">
        <v>7225.0</v>
      </c>
      <c r="D345" s="1">
        <v>5.17999982833862</v>
      </c>
      <c r="E345" s="1">
        <v>5.17999982833862</v>
      </c>
      <c r="F345" s="1">
        <v>0.0</v>
      </c>
      <c r="G345" s="1">
        <v>1.73000001907349</v>
      </c>
      <c r="H345" s="1">
        <v>1.26999998092651</v>
      </c>
      <c r="I345" s="1">
        <v>2.1800000667572</v>
      </c>
      <c r="J345" s="1">
        <v>0.0</v>
      </c>
      <c r="K345" s="1">
        <v>25.0</v>
      </c>
      <c r="L345" s="1">
        <v>50.0</v>
      </c>
      <c r="M345" s="1">
        <v>163.0</v>
      </c>
      <c r="N345" s="1">
        <v>1189.0</v>
      </c>
      <c r="O345" s="1">
        <v>3065.0</v>
      </c>
      <c r="P345" s="4">
        <f t="shared" si="1"/>
        <v>5</v>
      </c>
      <c r="Q345" s="4" t="str">
        <f t="shared" si="2"/>
        <v>Friday</v>
      </c>
      <c r="R345" s="4">
        <f t="shared" si="3"/>
        <v>10.35999966</v>
      </c>
      <c r="S345" s="2">
        <f t="shared" si="4"/>
        <v>0.05255781359</v>
      </c>
      <c r="T345" s="4" t="str">
        <f t="shared" si="5"/>
        <v>Moderate</v>
      </c>
    </row>
    <row r="346">
      <c r="A346" s="1">
        <v>6.775888955E9</v>
      </c>
      <c r="B346" s="3">
        <v>42462.0</v>
      </c>
      <c r="C346" s="1">
        <v>1988.0</v>
      </c>
      <c r="D346" s="1">
        <v>1.42999994754791</v>
      </c>
      <c r="E346" s="1">
        <v>1.42999994754791</v>
      </c>
      <c r="F346" s="1">
        <v>0.0</v>
      </c>
      <c r="G346" s="1">
        <v>0.0</v>
      </c>
      <c r="H346" s="1">
        <v>0.0</v>
      </c>
      <c r="I346" s="1">
        <v>1.42999994754791</v>
      </c>
      <c r="J346" s="1">
        <v>0.0</v>
      </c>
      <c r="K346" s="1">
        <v>0.0</v>
      </c>
      <c r="L346" s="1">
        <v>0.0</v>
      </c>
      <c r="M346" s="1">
        <v>79.0</v>
      </c>
      <c r="N346" s="1">
        <v>909.0</v>
      </c>
      <c r="O346" s="1">
        <v>2207.0</v>
      </c>
      <c r="P346" s="4">
        <f t="shared" si="1"/>
        <v>6</v>
      </c>
      <c r="Q346" s="4" t="str">
        <f t="shared" si="2"/>
        <v>Saturday</v>
      </c>
      <c r="R346" s="4">
        <f t="shared" si="3"/>
        <v>2.859999895</v>
      </c>
      <c r="S346" s="2">
        <f t="shared" si="4"/>
        <v>0</v>
      </c>
      <c r="T346" s="4" t="str">
        <f t="shared" si="5"/>
        <v>Low</v>
      </c>
    </row>
    <row r="347">
      <c r="A347" s="1">
        <v>6.775888955E9</v>
      </c>
      <c r="B347" s="3">
        <v>42463.0</v>
      </c>
      <c r="C347" s="1">
        <v>1577.0</v>
      </c>
      <c r="D347" s="1">
        <v>1.12999999523163</v>
      </c>
      <c r="E347" s="1">
        <v>1.12999999523163</v>
      </c>
      <c r="F347" s="1">
        <v>0.0</v>
      </c>
      <c r="G347" s="1">
        <v>0.0700000002980232</v>
      </c>
      <c r="H347" s="1">
        <v>0.889999985694885</v>
      </c>
      <c r="I347" s="1">
        <v>0.170000001788139</v>
      </c>
      <c r="J347" s="1">
        <v>0.0</v>
      </c>
      <c r="K347" s="1">
        <v>1.0</v>
      </c>
      <c r="L347" s="1">
        <v>17.0</v>
      </c>
      <c r="M347" s="1">
        <v>8.0</v>
      </c>
      <c r="N347" s="1">
        <v>1414.0</v>
      </c>
      <c r="O347" s="1">
        <v>1977.0</v>
      </c>
      <c r="P347" s="4">
        <f t="shared" si="1"/>
        <v>7</v>
      </c>
      <c r="Q347" s="4" t="str">
        <f t="shared" si="2"/>
        <v>Sunday</v>
      </c>
      <c r="R347" s="4">
        <f t="shared" si="3"/>
        <v>2.25999999</v>
      </c>
      <c r="S347" s="2">
        <f t="shared" si="4"/>
        <v>0.0125</v>
      </c>
      <c r="T347" s="4" t="str">
        <f t="shared" si="5"/>
        <v>Low</v>
      </c>
    </row>
    <row r="348">
      <c r="A348" s="1">
        <v>6.775888955E9</v>
      </c>
      <c r="B348" s="3">
        <v>42464.0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1440.0</v>
      </c>
      <c r="O348" s="1">
        <v>1841.0</v>
      </c>
      <c r="P348" s="4">
        <f t="shared" si="1"/>
        <v>1</v>
      </c>
      <c r="Q348" s="4" t="str">
        <f t="shared" si="2"/>
        <v>Monday</v>
      </c>
      <c r="R348" s="4">
        <f t="shared" si="3"/>
        <v>0</v>
      </c>
      <c r="S348" s="2">
        <f t="shared" si="4"/>
        <v>0</v>
      </c>
      <c r="T348" s="4" t="str">
        <f t="shared" si="5"/>
        <v>Low</v>
      </c>
    </row>
    <row r="349">
      <c r="A349" s="1">
        <v>6.775888955E9</v>
      </c>
      <c r="B349" s="3">
        <v>42465.0</v>
      </c>
      <c r="C349" s="1">
        <v>9348.0</v>
      </c>
      <c r="D349" s="1">
        <v>6.69999980926514</v>
      </c>
      <c r="E349" s="1">
        <v>6.69999980926514</v>
      </c>
      <c r="F349" s="1">
        <v>0.0</v>
      </c>
      <c r="G349" s="1">
        <v>1.12999999523163</v>
      </c>
      <c r="H349" s="1">
        <v>2.03999996185303</v>
      </c>
      <c r="I349" s="1">
        <v>3.14000010490417</v>
      </c>
      <c r="J349" s="1">
        <v>0.0</v>
      </c>
      <c r="K349" s="1">
        <v>56.0</v>
      </c>
      <c r="L349" s="1">
        <v>133.0</v>
      </c>
      <c r="M349" s="1">
        <v>240.0</v>
      </c>
      <c r="N349" s="1">
        <v>1011.0</v>
      </c>
      <c r="O349" s="1">
        <v>4286.0</v>
      </c>
      <c r="P349" s="4">
        <f t="shared" si="1"/>
        <v>2</v>
      </c>
      <c r="Q349" s="4" t="str">
        <f t="shared" si="2"/>
        <v>Tuesday</v>
      </c>
      <c r="R349" s="4">
        <f t="shared" si="3"/>
        <v>13.39999962</v>
      </c>
      <c r="S349" s="2">
        <f t="shared" si="4"/>
        <v>0.13125</v>
      </c>
      <c r="T349" s="4" t="str">
        <f t="shared" si="5"/>
        <v>High</v>
      </c>
    </row>
    <row r="350">
      <c r="A350" s="1">
        <v>6.775888955E9</v>
      </c>
      <c r="B350" s="3">
        <v>42466.0</v>
      </c>
      <c r="C350" s="1">
        <v>11761.0</v>
      </c>
      <c r="D350" s="1">
        <v>8.43000030517578</v>
      </c>
      <c r="E350" s="1">
        <v>8.43000030517578</v>
      </c>
      <c r="F350" s="1">
        <v>0.0</v>
      </c>
      <c r="G350" s="1">
        <v>1.30999994277954</v>
      </c>
      <c r="H350" s="1">
        <v>2.44000005722046</v>
      </c>
      <c r="I350" s="1">
        <v>4.67999982833862</v>
      </c>
      <c r="J350" s="1">
        <v>0.0</v>
      </c>
      <c r="K350" s="1">
        <v>24.0</v>
      </c>
      <c r="L350" s="1">
        <v>99.0</v>
      </c>
      <c r="M350" s="1">
        <v>300.0</v>
      </c>
      <c r="N350" s="1">
        <v>550.0</v>
      </c>
      <c r="O350" s="1">
        <v>3920.0</v>
      </c>
      <c r="P350" s="4">
        <f t="shared" si="1"/>
        <v>3</v>
      </c>
      <c r="Q350" s="4" t="str">
        <f t="shared" si="2"/>
        <v>Wednesday</v>
      </c>
      <c r="R350" s="4">
        <f t="shared" si="3"/>
        <v>16.86000061</v>
      </c>
      <c r="S350" s="2">
        <f t="shared" si="4"/>
        <v>0.1264131552</v>
      </c>
      <c r="T350" s="4" t="str">
        <f t="shared" si="5"/>
        <v>Moderate</v>
      </c>
    </row>
    <row r="351">
      <c r="A351" s="1">
        <v>6.775888955E9</v>
      </c>
      <c r="B351" s="3">
        <v>42467.0</v>
      </c>
      <c r="C351" s="1">
        <v>13987.0</v>
      </c>
      <c r="D351" s="1">
        <v>10.0299997329712</v>
      </c>
      <c r="E351" s="1">
        <v>10.0299997329712</v>
      </c>
      <c r="F351" s="1">
        <v>0.0</v>
      </c>
      <c r="G351" s="1">
        <v>2.86999988555908</v>
      </c>
      <c r="H351" s="1">
        <v>3.33999991416931</v>
      </c>
      <c r="I351" s="1">
        <v>3.8199999332428</v>
      </c>
      <c r="J351" s="1">
        <v>0.0</v>
      </c>
      <c r="K351" s="1">
        <v>46.0</v>
      </c>
      <c r="L351" s="1">
        <v>114.0</v>
      </c>
      <c r="M351" s="1">
        <v>250.0</v>
      </c>
      <c r="N351" s="1">
        <v>739.0</v>
      </c>
      <c r="O351" s="1">
        <v>3856.0</v>
      </c>
      <c r="P351" s="4">
        <f t="shared" si="1"/>
        <v>4</v>
      </c>
      <c r="Q351" s="4" t="str">
        <f t="shared" si="2"/>
        <v>Thursday</v>
      </c>
      <c r="R351" s="4">
        <f t="shared" si="3"/>
        <v>20.05999947</v>
      </c>
      <c r="S351" s="2">
        <f t="shared" si="4"/>
        <v>0.1392515231</v>
      </c>
      <c r="T351" s="4" t="str">
        <f t="shared" si="5"/>
        <v>High</v>
      </c>
    </row>
    <row r="352">
      <c r="A352" s="1">
        <v>6.775888955E9</v>
      </c>
      <c r="B352" s="3">
        <v>42468.0</v>
      </c>
      <c r="C352" s="1">
        <v>4131.0</v>
      </c>
      <c r="D352" s="1">
        <v>2.96000003814697</v>
      </c>
      <c r="E352" s="1">
        <v>2.96000003814697</v>
      </c>
      <c r="F352" s="1">
        <v>0.0</v>
      </c>
      <c r="G352" s="1">
        <v>1.37000000476837</v>
      </c>
      <c r="H352" s="1">
        <v>0.610000014305115</v>
      </c>
      <c r="I352" s="1">
        <v>0.980000019073486</v>
      </c>
      <c r="J352" s="1">
        <v>0.0</v>
      </c>
      <c r="K352" s="1">
        <v>27.0</v>
      </c>
      <c r="L352" s="1">
        <v>30.0</v>
      </c>
      <c r="M352" s="1">
        <v>75.0</v>
      </c>
      <c r="N352" s="1">
        <v>1308.0</v>
      </c>
      <c r="O352" s="1">
        <v>2584.0</v>
      </c>
      <c r="P352" s="4">
        <f t="shared" si="1"/>
        <v>5</v>
      </c>
      <c r="Q352" s="4" t="str">
        <f t="shared" si="2"/>
        <v>Friday</v>
      </c>
      <c r="R352" s="4">
        <f t="shared" si="3"/>
        <v>5.920000076</v>
      </c>
      <c r="S352" s="2">
        <f t="shared" si="4"/>
        <v>0.03958333333</v>
      </c>
      <c r="T352" s="4" t="str">
        <f t="shared" si="5"/>
        <v>Moderate</v>
      </c>
    </row>
    <row r="353">
      <c r="A353" s="1">
        <v>6.775888955E9</v>
      </c>
      <c r="B353" s="3">
        <v>42469.0</v>
      </c>
      <c r="C353" s="1">
        <v>14.0</v>
      </c>
      <c r="D353" s="1">
        <v>0.00999999977648258</v>
      </c>
      <c r="E353" s="1">
        <v>0.00999999977648258</v>
      </c>
      <c r="F353" s="1">
        <v>0.0</v>
      </c>
      <c r="G353" s="1">
        <v>0.0</v>
      </c>
      <c r="H353" s="1">
        <v>0.0</v>
      </c>
      <c r="I353" s="1">
        <v>0.00999999977648258</v>
      </c>
      <c r="J353" s="1">
        <v>0.0</v>
      </c>
      <c r="K353" s="1">
        <v>0.0</v>
      </c>
      <c r="L353" s="1">
        <v>0.0</v>
      </c>
      <c r="M353" s="1">
        <v>1.0</v>
      </c>
      <c r="N353" s="1">
        <v>601.0</v>
      </c>
      <c r="O353" s="1">
        <v>787.0</v>
      </c>
      <c r="P353" s="4">
        <f t="shared" si="1"/>
        <v>6</v>
      </c>
      <c r="Q353" s="4" t="str">
        <f t="shared" si="2"/>
        <v>Saturday</v>
      </c>
      <c r="R353" s="4">
        <f t="shared" si="3"/>
        <v>0.01999999955</v>
      </c>
      <c r="S353" s="2">
        <f t="shared" si="4"/>
        <v>0</v>
      </c>
      <c r="T353" s="4" t="str">
        <f t="shared" si="5"/>
        <v>Low</v>
      </c>
    </row>
    <row r="354">
      <c r="A354" s="1">
        <v>6.962181067E9</v>
      </c>
      <c r="B354" s="3">
        <v>42459.0</v>
      </c>
      <c r="C354" s="1">
        <v>15491.0</v>
      </c>
      <c r="D354" s="1">
        <v>10.2399997711182</v>
      </c>
      <c r="E354" s="1">
        <v>10.2399997711182</v>
      </c>
      <c r="F354" s="1">
        <v>0.0</v>
      </c>
      <c r="G354" s="1">
        <v>1.28999996185303</v>
      </c>
      <c r="H354" s="1">
        <v>4.48999977111816</v>
      </c>
      <c r="I354" s="1">
        <v>4.46000003814697</v>
      </c>
      <c r="J354" s="1">
        <v>0.0</v>
      </c>
      <c r="K354" s="1">
        <v>18.0</v>
      </c>
      <c r="L354" s="1">
        <v>77.0</v>
      </c>
      <c r="M354" s="1">
        <v>272.0</v>
      </c>
      <c r="N354" s="1">
        <v>641.0</v>
      </c>
      <c r="O354" s="1">
        <v>2244.0</v>
      </c>
      <c r="P354" s="4">
        <f t="shared" si="1"/>
        <v>3</v>
      </c>
      <c r="Q354" s="4" t="str">
        <f t="shared" si="2"/>
        <v>Wednesday</v>
      </c>
      <c r="R354" s="4">
        <f t="shared" si="3"/>
        <v>20.47999954</v>
      </c>
      <c r="S354" s="2">
        <f t="shared" si="4"/>
        <v>0.09424603175</v>
      </c>
      <c r="T354" s="4" t="str">
        <f t="shared" si="5"/>
        <v>Moderate</v>
      </c>
    </row>
    <row r="355">
      <c r="A355" s="1">
        <v>6.962181067E9</v>
      </c>
      <c r="B355" s="3">
        <v>42460.0</v>
      </c>
      <c r="C355" s="1">
        <v>14097.0</v>
      </c>
      <c r="D355" s="1">
        <v>9.31999969482422</v>
      </c>
      <c r="E355" s="1">
        <v>9.31999969482422</v>
      </c>
      <c r="F355" s="1">
        <v>0.0</v>
      </c>
      <c r="G355" s="1">
        <v>3.5</v>
      </c>
      <c r="H355" s="1">
        <v>1.91999995708466</v>
      </c>
      <c r="I355" s="1">
        <v>3.90000009536743</v>
      </c>
      <c r="J355" s="1">
        <v>0.0</v>
      </c>
      <c r="K355" s="1">
        <v>50.0</v>
      </c>
      <c r="L355" s="1">
        <v>32.0</v>
      </c>
      <c r="M355" s="1">
        <v>234.0</v>
      </c>
      <c r="N355" s="1">
        <v>595.0</v>
      </c>
      <c r="O355" s="1">
        <v>2188.0</v>
      </c>
      <c r="P355" s="4">
        <f t="shared" si="1"/>
        <v>4</v>
      </c>
      <c r="Q355" s="4" t="str">
        <f t="shared" si="2"/>
        <v>Thursday</v>
      </c>
      <c r="R355" s="4">
        <f t="shared" si="3"/>
        <v>18.63999939</v>
      </c>
      <c r="S355" s="2">
        <f t="shared" si="4"/>
        <v>0.09001097695</v>
      </c>
      <c r="T355" s="4" t="str">
        <f t="shared" si="5"/>
        <v>High</v>
      </c>
    </row>
    <row r="356">
      <c r="A356" s="1">
        <v>6.962181067E9</v>
      </c>
      <c r="B356" s="3">
        <v>42461.0</v>
      </c>
      <c r="C356" s="1">
        <v>10467.0</v>
      </c>
      <c r="D356" s="1">
        <v>6.98000001907349</v>
      </c>
      <c r="E356" s="1">
        <v>6.98000001907349</v>
      </c>
      <c r="F356" s="1">
        <v>0.0</v>
      </c>
      <c r="G356" s="1">
        <v>0.699999988079071</v>
      </c>
      <c r="H356" s="1">
        <v>2.4300000667572</v>
      </c>
      <c r="I356" s="1">
        <v>3.84999990463257</v>
      </c>
      <c r="J356" s="1">
        <v>0.0</v>
      </c>
      <c r="K356" s="1">
        <v>9.0</v>
      </c>
      <c r="L356" s="1">
        <v>45.0</v>
      </c>
      <c r="M356" s="1">
        <v>252.0</v>
      </c>
      <c r="N356" s="1">
        <v>602.0</v>
      </c>
      <c r="O356" s="1">
        <v>2014.0</v>
      </c>
      <c r="P356" s="4">
        <f t="shared" si="1"/>
        <v>5</v>
      </c>
      <c r="Q356" s="4" t="str">
        <f t="shared" si="2"/>
        <v>Friday</v>
      </c>
      <c r="R356" s="4">
        <f t="shared" si="3"/>
        <v>13.96000004</v>
      </c>
      <c r="S356" s="2">
        <f t="shared" si="4"/>
        <v>0.05947136564</v>
      </c>
      <c r="T356" s="4" t="str">
        <f t="shared" si="5"/>
        <v>Low</v>
      </c>
    </row>
    <row r="357">
      <c r="A357" s="1">
        <v>6.962181067E9</v>
      </c>
      <c r="B357" s="3">
        <v>42462.0</v>
      </c>
      <c r="C357" s="1">
        <v>12437.0</v>
      </c>
      <c r="D357" s="1">
        <v>8.30000019073486</v>
      </c>
      <c r="E357" s="1">
        <v>8.30000019073486</v>
      </c>
      <c r="F357" s="1">
        <v>0.0</v>
      </c>
      <c r="G357" s="1">
        <v>3.75999999046326</v>
      </c>
      <c r="H357" s="1">
        <v>1.28999996185303</v>
      </c>
      <c r="I357" s="1">
        <v>3.24000000953674</v>
      </c>
      <c r="J357" s="1">
        <v>0.0</v>
      </c>
      <c r="K357" s="1">
        <v>50.0</v>
      </c>
      <c r="L357" s="1">
        <v>24.0</v>
      </c>
      <c r="M357" s="1">
        <v>219.0</v>
      </c>
      <c r="N357" s="1">
        <v>732.0</v>
      </c>
      <c r="O357" s="1">
        <v>2115.0</v>
      </c>
      <c r="P357" s="4">
        <f t="shared" si="1"/>
        <v>6</v>
      </c>
      <c r="Q357" s="4" t="str">
        <f t="shared" si="2"/>
        <v>Saturday</v>
      </c>
      <c r="R357" s="4">
        <f t="shared" si="3"/>
        <v>16.60000038</v>
      </c>
      <c r="S357" s="2">
        <f t="shared" si="4"/>
        <v>0.07219512195</v>
      </c>
      <c r="T357" s="4" t="str">
        <f t="shared" si="5"/>
        <v>High</v>
      </c>
    </row>
    <row r="358">
      <c r="A358" s="1">
        <v>6.962181067E9</v>
      </c>
      <c r="B358" s="3">
        <v>42463.0</v>
      </c>
      <c r="C358" s="1">
        <v>12307.0</v>
      </c>
      <c r="D358" s="1">
        <v>8.14000034332275</v>
      </c>
      <c r="E358" s="1">
        <v>8.14000034332275</v>
      </c>
      <c r="F358" s="1">
        <v>0.0</v>
      </c>
      <c r="G358" s="1">
        <v>1.00999999046326</v>
      </c>
      <c r="H358" s="1">
        <v>3.25999999046326</v>
      </c>
      <c r="I358" s="1">
        <v>3.86999988555908</v>
      </c>
      <c r="J358" s="1">
        <v>0.0</v>
      </c>
      <c r="K358" s="1">
        <v>14.0</v>
      </c>
      <c r="L358" s="1">
        <v>51.0</v>
      </c>
      <c r="M358" s="1">
        <v>218.0</v>
      </c>
      <c r="N358" s="1">
        <v>589.0</v>
      </c>
      <c r="O358" s="1">
        <v>2055.0</v>
      </c>
      <c r="P358" s="4">
        <f t="shared" si="1"/>
        <v>7</v>
      </c>
      <c r="Q358" s="4" t="str">
        <f t="shared" si="2"/>
        <v>Sunday</v>
      </c>
      <c r="R358" s="4">
        <f t="shared" si="3"/>
        <v>16.28000069</v>
      </c>
      <c r="S358" s="2">
        <f t="shared" si="4"/>
        <v>0.0745412844</v>
      </c>
      <c r="T358" s="4" t="str">
        <f t="shared" si="5"/>
        <v>Low</v>
      </c>
    </row>
    <row r="359">
      <c r="A359" s="1">
        <v>6.962181067E9</v>
      </c>
      <c r="B359" s="3">
        <v>42464.0</v>
      </c>
      <c r="C359" s="1">
        <v>18952.0</v>
      </c>
      <c r="D359" s="1">
        <v>12.8000001907349</v>
      </c>
      <c r="E359" s="1">
        <v>12.8000001907349</v>
      </c>
      <c r="F359" s="1">
        <v>0.0</v>
      </c>
      <c r="G359" s="1">
        <v>5.90999984741211</v>
      </c>
      <c r="H359" s="1">
        <v>1.23000001907349</v>
      </c>
      <c r="I359" s="1">
        <v>5.65999984741211</v>
      </c>
      <c r="J359" s="1">
        <v>0.0</v>
      </c>
      <c r="K359" s="1">
        <v>73.0</v>
      </c>
      <c r="L359" s="1">
        <v>20.0</v>
      </c>
      <c r="M359" s="1">
        <v>327.0</v>
      </c>
      <c r="N359" s="1">
        <v>570.0</v>
      </c>
      <c r="O359" s="1">
        <v>2437.0</v>
      </c>
      <c r="P359" s="4">
        <f t="shared" si="1"/>
        <v>1</v>
      </c>
      <c r="Q359" s="4" t="str">
        <f t="shared" si="2"/>
        <v>Monday</v>
      </c>
      <c r="R359" s="4">
        <f t="shared" si="3"/>
        <v>25.60000038</v>
      </c>
      <c r="S359" s="2">
        <f t="shared" si="4"/>
        <v>0.09393939394</v>
      </c>
      <c r="T359" s="4" t="str">
        <f t="shared" si="5"/>
        <v>High</v>
      </c>
    </row>
    <row r="360">
      <c r="A360" s="1">
        <v>6.962181067E9</v>
      </c>
      <c r="B360" s="3">
        <v>42465.0</v>
      </c>
      <c r="C360" s="1">
        <v>12010.0</v>
      </c>
      <c r="D360" s="1">
        <v>7.94000005722046</v>
      </c>
      <c r="E360" s="1">
        <v>7.94000005722046</v>
      </c>
      <c r="F360" s="1">
        <v>0.0</v>
      </c>
      <c r="G360" s="1">
        <v>2.38000011444092</v>
      </c>
      <c r="H360" s="1">
        <v>0.949999988079071</v>
      </c>
      <c r="I360" s="1">
        <v>4.6100001335144</v>
      </c>
      <c r="J360" s="1">
        <v>0.0</v>
      </c>
      <c r="K360" s="1">
        <v>38.0</v>
      </c>
      <c r="L360" s="1">
        <v>17.0</v>
      </c>
      <c r="M360" s="1">
        <v>287.0</v>
      </c>
      <c r="N360" s="1">
        <v>692.0</v>
      </c>
      <c r="O360" s="1">
        <v>2158.0</v>
      </c>
      <c r="P360" s="4">
        <f t="shared" si="1"/>
        <v>2</v>
      </c>
      <c r="Q360" s="4" t="str">
        <f t="shared" si="2"/>
        <v>Tuesday</v>
      </c>
      <c r="R360" s="4">
        <f t="shared" si="3"/>
        <v>15.88000011</v>
      </c>
      <c r="S360" s="2">
        <f t="shared" si="4"/>
        <v>0.05319148936</v>
      </c>
      <c r="T360" s="4" t="str">
        <f t="shared" si="5"/>
        <v>High</v>
      </c>
    </row>
    <row r="361">
      <c r="A361" s="1">
        <v>6.962181067E9</v>
      </c>
      <c r="B361" s="3">
        <v>42466.0</v>
      </c>
      <c r="C361" s="1">
        <v>12480.0</v>
      </c>
      <c r="D361" s="1">
        <v>8.85999965667725</v>
      </c>
      <c r="E361" s="1">
        <v>8.25</v>
      </c>
      <c r="F361" s="1">
        <v>3.97279500961304</v>
      </c>
      <c r="G361" s="1">
        <v>4.17999982833862</v>
      </c>
      <c r="H361" s="1">
        <v>0.689999997615814</v>
      </c>
      <c r="I361" s="1">
        <v>4.0</v>
      </c>
      <c r="J361" s="1">
        <v>0.0</v>
      </c>
      <c r="K361" s="1">
        <v>55.0</v>
      </c>
      <c r="L361" s="1">
        <v>14.0</v>
      </c>
      <c r="M361" s="1">
        <v>276.0</v>
      </c>
      <c r="N361" s="1">
        <v>593.0</v>
      </c>
      <c r="O361" s="1">
        <v>2170.0</v>
      </c>
      <c r="P361" s="4">
        <f t="shared" si="1"/>
        <v>3</v>
      </c>
      <c r="Q361" s="4" t="str">
        <f t="shared" si="2"/>
        <v>Wednesday</v>
      </c>
      <c r="R361" s="4">
        <f t="shared" si="3"/>
        <v>21.08279467</v>
      </c>
      <c r="S361" s="2">
        <f t="shared" si="4"/>
        <v>0.07356076759</v>
      </c>
      <c r="T361" s="4" t="str">
        <f t="shared" si="5"/>
        <v>High</v>
      </c>
    </row>
    <row r="362">
      <c r="A362" s="1">
        <v>6.962181067E9</v>
      </c>
      <c r="B362" s="3">
        <v>42467.0</v>
      </c>
      <c r="C362" s="1">
        <v>13417.0</v>
      </c>
      <c r="D362" s="1">
        <v>9.64999961853027</v>
      </c>
      <c r="E362" s="1">
        <v>8.86999988555908</v>
      </c>
      <c r="F362" s="1">
        <v>1.92630195617676</v>
      </c>
      <c r="G362" s="1">
        <v>3.39000010490417</v>
      </c>
      <c r="H362" s="1">
        <v>1.25</v>
      </c>
      <c r="I362" s="1">
        <v>4.90999984741211</v>
      </c>
      <c r="J362" s="1">
        <v>0.100000001490116</v>
      </c>
      <c r="K362" s="1">
        <v>45.0</v>
      </c>
      <c r="L362" s="1">
        <v>16.0</v>
      </c>
      <c r="M362" s="1">
        <v>284.0</v>
      </c>
      <c r="N362" s="1">
        <v>665.0</v>
      </c>
      <c r="O362" s="1">
        <v>2244.0</v>
      </c>
      <c r="P362" s="4">
        <f t="shared" si="1"/>
        <v>4</v>
      </c>
      <c r="Q362" s="4" t="str">
        <f t="shared" si="2"/>
        <v>Thursday</v>
      </c>
      <c r="R362" s="4">
        <f t="shared" si="3"/>
        <v>20.44630146</v>
      </c>
      <c r="S362" s="2">
        <f t="shared" si="4"/>
        <v>0.0603960396</v>
      </c>
      <c r="T362" s="4" t="str">
        <f t="shared" si="5"/>
        <v>High</v>
      </c>
    </row>
    <row r="363">
      <c r="A363" s="1">
        <v>6.962181067E9</v>
      </c>
      <c r="B363" s="3">
        <v>42468.0</v>
      </c>
      <c r="C363" s="1">
        <v>14400.0</v>
      </c>
      <c r="D363" s="1">
        <v>10.8800001144409</v>
      </c>
      <c r="E363" s="1">
        <v>9.52000045776367</v>
      </c>
      <c r="F363" s="1">
        <v>5.45686388015747</v>
      </c>
      <c r="G363" s="1">
        <v>2.47000002861023</v>
      </c>
      <c r="H363" s="1">
        <v>2.88000011444092</v>
      </c>
      <c r="I363" s="1">
        <v>5.53000020980835</v>
      </c>
      <c r="J363" s="1">
        <v>0.0</v>
      </c>
      <c r="K363" s="1">
        <v>27.0</v>
      </c>
      <c r="L363" s="1">
        <v>37.0</v>
      </c>
      <c r="M363" s="1">
        <v>276.0</v>
      </c>
      <c r="N363" s="1">
        <v>697.0</v>
      </c>
      <c r="O363" s="1">
        <v>2188.0</v>
      </c>
      <c r="P363" s="4">
        <f t="shared" si="1"/>
        <v>5</v>
      </c>
      <c r="Q363" s="4" t="str">
        <f t="shared" si="2"/>
        <v>Friday</v>
      </c>
      <c r="R363" s="4">
        <f t="shared" si="3"/>
        <v>25.85686445</v>
      </c>
      <c r="S363" s="2">
        <f t="shared" si="4"/>
        <v>0.06171648987</v>
      </c>
      <c r="T363" s="4" t="str">
        <f t="shared" si="5"/>
        <v>Moderate</v>
      </c>
    </row>
    <row r="364">
      <c r="A364" s="1">
        <v>6.962181067E9</v>
      </c>
      <c r="B364" s="3">
        <v>42469.0</v>
      </c>
      <c r="C364" s="1">
        <v>12495.0</v>
      </c>
      <c r="D364" s="1">
        <v>8.26000022888184</v>
      </c>
      <c r="E364" s="1">
        <v>8.26000022888184</v>
      </c>
      <c r="F364" s="1">
        <v>0.0</v>
      </c>
      <c r="G364" s="1">
        <v>2.21000003814697</v>
      </c>
      <c r="H364" s="1">
        <v>1.0900000333786</v>
      </c>
      <c r="I364" s="1">
        <v>4.96000003814697</v>
      </c>
      <c r="J364" s="1">
        <v>0.0</v>
      </c>
      <c r="K364" s="1">
        <v>33.0</v>
      </c>
      <c r="L364" s="1">
        <v>19.0</v>
      </c>
      <c r="M364" s="1">
        <v>324.0</v>
      </c>
      <c r="N364" s="1">
        <v>609.0</v>
      </c>
      <c r="O364" s="1">
        <v>2231.0</v>
      </c>
      <c r="P364" s="4">
        <f t="shared" si="1"/>
        <v>6</v>
      </c>
      <c r="Q364" s="4" t="str">
        <f t="shared" si="2"/>
        <v>Saturday</v>
      </c>
      <c r="R364" s="4">
        <f t="shared" si="3"/>
        <v>16.52000046</v>
      </c>
      <c r="S364" s="2">
        <f t="shared" si="4"/>
        <v>0.05279187817</v>
      </c>
      <c r="T364" s="4" t="str">
        <f t="shared" si="5"/>
        <v>High</v>
      </c>
    </row>
    <row r="365">
      <c r="A365" s="1">
        <v>6.962181067E9</v>
      </c>
      <c r="B365" s="3">
        <v>42470.0</v>
      </c>
      <c r="C365" s="1">
        <v>10148.0</v>
      </c>
      <c r="D365" s="1">
        <v>6.71000003814697</v>
      </c>
      <c r="E365" s="1">
        <v>6.71000003814697</v>
      </c>
      <c r="F365" s="1">
        <v>0.0</v>
      </c>
      <c r="G365" s="1">
        <v>1.36000001430511</v>
      </c>
      <c r="H365" s="1">
        <v>0.219999998807907</v>
      </c>
      <c r="I365" s="1">
        <v>5.13000011444092</v>
      </c>
      <c r="J365" s="1">
        <v>0.0</v>
      </c>
      <c r="K365" s="1">
        <v>19.0</v>
      </c>
      <c r="L365" s="1">
        <v>7.0</v>
      </c>
      <c r="M365" s="1">
        <v>306.0</v>
      </c>
      <c r="N365" s="1">
        <v>679.0</v>
      </c>
      <c r="O365" s="1">
        <v>2100.0</v>
      </c>
      <c r="P365" s="4">
        <f t="shared" si="1"/>
        <v>7</v>
      </c>
      <c r="Q365" s="4" t="str">
        <f t="shared" si="2"/>
        <v>Sunday</v>
      </c>
      <c r="R365" s="4">
        <f t="shared" si="3"/>
        <v>13.42000008</v>
      </c>
      <c r="S365" s="2">
        <f t="shared" si="4"/>
        <v>0.02571711177</v>
      </c>
      <c r="T365" s="4" t="str">
        <f t="shared" si="5"/>
        <v>Moderate</v>
      </c>
    </row>
    <row r="366">
      <c r="A366" s="1">
        <v>6.962181067E9</v>
      </c>
      <c r="B366" s="3">
        <v>42471.0</v>
      </c>
      <c r="C366" s="1">
        <v>12362.0</v>
      </c>
      <c r="D366" s="1">
        <v>9.09000015258789</v>
      </c>
      <c r="E366" s="1">
        <v>8.17000007629395</v>
      </c>
      <c r="F366" s="1">
        <v>2.69645500183105</v>
      </c>
      <c r="G366" s="1">
        <v>1.0900000333786</v>
      </c>
      <c r="H366" s="1">
        <v>2.73000001907349</v>
      </c>
      <c r="I366" s="1">
        <v>5.26999998092651</v>
      </c>
      <c r="J366" s="1">
        <v>0.0</v>
      </c>
      <c r="K366" s="1">
        <v>21.0</v>
      </c>
      <c r="L366" s="1">
        <v>38.0</v>
      </c>
      <c r="M366" s="1">
        <v>297.0</v>
      </c>
      <c r="N366" s="1">
        <v>678.0</v>
      </c>
      <c r="O366" s="1">
        <v>2188.0</v>
      </c>
      <c r="P366" s="4">
        <f t="shared" si="1"/>
        <v>1</v>
      </c>
      <c r="Q366" s="4" t="str">
        <f t="shared" si="2"/>
        <v>Monday</v>
      </c>
      <c r="R366" s="4">
        <f t="shared" si="3"/>
        <v>19.95645523</v>
      </c>
      <c r="S366" s="2">
        <f t="shared" si="4"/>
        <v>0.05705996132</v>
      </c>
      <c r="T366" s="4" t="str">
        <f t="shared" si="5"/>
        <v>Moderate</v>
      </c>
    </row>
    <row r="367">
      <c r="A367" s="1">
        <v>6.962181067E9</v>
      </c>
      <c r="B367" s="3">
        <v>42472.0</v>
      </c>
      <c r="C367" s="1">
        <v>5893.0</v>
      </c>
      <c r="D367" s="1">
        <v>3.90000009536743</v>
      </c>
      <c r="E367" s="1">
        <v>3.90000009536743</v>
      </c>
      <c r="F367" s="1">
        <v>0.0</v>
      </c>
      <c r="G367" s="1">
        <v>2.88000011444092</v>
      </c>
      <c r="H367" s="1">
        <v>0.560000002384186</v>
      </c>
      <c r="I367" s="1">
        <v>0.46000000834465</v>
      </c>
      <c r="J367" s="1">
        <v>0.0</v>
      </c>
      <c r="K367" s="1">
        <v>43.0</v>
      </c>
      <c r="L367" s="1">
        <v>9.0</v>
      </c>
      <c r="M367" s="1">
        <v>48.0</v>
      </c>
      <c r="N367" s="1">
        <v>146.0</v>
      </c>
      <c r="O367" s="1">
        <v>917.0</v>
      </c>
      <c r="P367" s="4">
        <f t="shared" si="1"/>
        <v>2</v>
      </c>
      <c r="Q367" s="4" t="str">
        <f t="shared" si="2"/>
        <v>Tuesday</v>
      </c>
      <c r="R367" s="4">
        <f t="shared" si="3"/>
        <v>7.800000191</v>
      </c>
      <c r="S367" s="2">
        <f t="shared" si="4"/>
        <v>0.2113821138</v>
      </c>
      <c r="T367" s="4" t="str">
        <f t="shared" si="5"/>
        <v>High</v>
      </c>
    </row>
    <row r="368">
      <c r="A368" s="1">
        <v>7.007744171E9</v>
      </c>
      <c r="B368" s="3">
        <v>42461.0</v>
      </c>
      <c r="C368" s="1">
        <v>11680.0</v>
      </c>
      <c r="D368" s="1">
        <v>9.0600004196167</v>
      </c>
      <c r="E368" s="1">
        <v>7.80999994277954</v>
      </c>
      <c r="F368" s="1">
        <v>4.901282787323</v>
      </c>
      <c r="G368" s="1">
        <v>4.48999977111816</v>
      </c>
      <c r="H368" s="1">
        <v>0.330000013113022</v>
      </c>
      <c r="I368" s="1">
        <v>4.23999977111816</v>
      </c>
      <c r="J368" s="1">
        <v>0.0</v>
      </c>
      <c r="K368" s="1">
        <v>50.0</v>
      </c>
      <c r="L368" s="1">
        <v>7.0</v>
      </c>
      <c r="M368" s="1">
        <v>244.0</v>
      </c>
      <c r="N368" s="1">
        <v>1139.0</v>
      </c>
      <c r="O368" s="1">
        <v>2573.0</v>
      </c>
      <c r="P368" s="4">
        <f t="shared" si="1"/>
        <v>5</v>
      </c>
      <c r="Q368" s="4" t="str">
        <f t="shared" si="2"/>
        <v>Friday</v>
      </c>
      <c r="R368" s="4">
        <f t="shared" si="3"/>
        <v>21.77128315</v>
      </c>
      <c r="S368" s="2">
        <f t="shared" si="4"/>
        <v>0.03958333333</v>
      </c>
      <c r="T368" s="4" t="str">
        <f t="shared" si="5"/>
        <v>High</v>
      </c>
    </row>
    <row r="369">
      <c r="A369" s="1">
        <v>7.007744171E9</v>
      </c>
      <c r="B369" s="3">
        <v>42462.0</v>
      </c>
      <c r="C369" s="1">
        <v>10976.0</v>
      </c>
      <c r="D369" s="1">
        <v>7.34000015258789</v>
      </c>
      <c r="E369" s="1">
        <v>7.34000015258789</v>
      </c>
      <c r="F369" s="1">
        <v>0.0</v>
      </c>
      <c r="G369" s="1">
        <v>0.550000011920929</v>
      </c>
      <c r="H369" s="1">
        <v>0.670000016689301</v>
      </c>
      <c r="I369" s="1">
        <v>6.13000011444092</v>
      </c>
      <c r="J369" s="1">
        <v>0.0</v>
      </c>
      <c r="K369" s="1">
        <v>9.0</v>
      </c>
      <c r="L369" s="1">
        <v>16.0</v>
      </c>
      <c r="M369" s="1">
        <v>271.0</v>
      </c>
      <c r="N369" s="1">
        <v>1075.0</v>
      </c>
      <c r="O369" s="1">
        <v>2575.0</v>
      </c>
      <c r="P369" s="4">
        <f t="shared" si="1"/>
        <v>6</v>
      </c>
      <c r="Q369" s="4" t="str">
        <f t="shared" si="2"/>
        <v>Saturday</v>
      </c>
      <c r="R369" s="4">
        <f t="shared" si="3"/>
        <v>14.68000031</v>
      </c>
      <c r="S369" s="2">
        <f t="shared" si="4"/>
        <v>0.01823486506</v>
      </c>
      <c r="T369" s="4" t="str">
        <f t="shared" si="5"/>
        <v>Low</v>
      </c>
    </row>
    <row r="370">
      <c r="A370" s="1">
        <v>7.007744171E9</v>
      </c>
      <c r="B370" s="3">
        <v>42463.0</v>
      </c>
      <c r="C370" s="1">
        <v>16806.0</v>
      </c>
      <c r="D370" s="1">
        <v>11.2399997711182</v>
      </c>
      <c r="E370" s="1">
        <v>11.2399997711182</v>
      </c>
      <c r="F370" s="1">
        <v>0.0</v>
      </c>
      <c r="G370" s="1">
        <v>6.40999984741211</v>
      </c>
      <c r="H370" s="1">
        <v>1.37000000476837</v>
      </c>
      <c r="I370" s="1">
        <v>3.47000002861023</v>
      </c>
      <c r="J370" s="1">
        <v>0.0</v>
      </c>
      <c r="K370" s="1">
        <v>104.0</v>
      </c>
      <c r="L370" s="1">
        <v>31.0</v>
      </c>
      <c r="M370" s="1">
        <v>230.0</v>
      </c>
      <c r="N370" s="1">
        <v>1002.0</v>
      </c>
      <c r="O370" s="1">
        <v>3086.0</v>
      </c>
      <c r="P370" s="4">
        <f t="shared" si="1"/>
        <v>7</v>
      </c>
      <c r="Q370" s="4" t="str">
        <f t="shared" si="2"/>
        <v>Sunday</v>
      </c>
      <c r="R370" s="4">
        <f t="shared" si="3"/>
        <v>22.47999954</v>
      </c>
      <c r="S370" s="2">
        <f t="shared" si="4"/>
        <v>0.09875640088</v>
      </c>
      <c r="T370" s="4" t="str">
        <f t="shared" si="5"/>
        <v>High</v>
      </c>
    </row>
    <row r="371">
      <c r="A371" s="1">
        <v>7.007744171E9</v>
      </c>
      <c r="B371" s="3">
        <v>42464.0</v>
      </c>
      <c r="C371" s="1">
        <v>15266.0</v>
      </c>
      <c r="D371" s="1">
        <v>11.3999996185303</v>
      </c>
      <c r="E371" s="1">
        <v>10.210000038147</v>
      </c>
      <c r="F371" s="1">
        <v>5.18984985351563</v>
      </c>
      <c r="G371" s="1">
        <v>5.80000019073486</v>
      </c>
      <c r="H371" s="1">
        <v>0.759999990463257</v>
      </c>
      <c r="I371" s="1">
        <v>4.78999996185303</v>
      </c>
      <c r="J371" s="1">
        <v>0.0500000007450581</v>
      </c>
      <c r="K371" s="1">
        <v>70.0</v>
      </c>
      <c r="L371" s="1">
        <v>21.0</v>
      </c>
      <c r="M371" s="1">
        <v>292.0</v>
      </c>
      <c r="N371" s="1">
        <v>1057.0</v>
      </c>
      <c r="O371" s="1">
        <v>2886.0</v>
      </c>
      <c r="P371" s="4">
        <f t="shared" si="1"/>
        <v>1</v>
      </c>
      <c r="Q371" s="4" t="str">
        <f t="shared" si="2"/>
        <v>Monday</v>
      </c>
      <c r="R371" s="4">
        <f t="shared" si="3"/>
        <v>26.79984951</v>
      </c>
      <c r="S371" s="2">
        <f t="shared" si="4"/>
        <v>0.06319444444</v>
      </c>
      <c r="T371" s="4" t="str">
        <f t="shared" si="5"/>
        <v>High</v>
      </c>
    </row>
    <row r="372">
      <c r="A372" s="1">
        <v>7.007744171E9</v>
      </c>
      <c r="B372" s="3">
        <v>42465.0</v>
      </c>
      <c r="C372" s="1">
        <v>12084.0</v>
      </c>
      <c r="D372" s="1">
        <v>9.14000034332275</v>
      </c>
      <c r="E372" s="1">
        <v>8.07999992370605</v>
      </c>
      <c r="F372" s="1">
        <v>4.83638000488281</v>
      </c>
      <c r="G372" s="1">
        <v>4.3899998664856</v>
      </c>
      <c r="H372" s="1">
        <v>0.46000000834465</v>
      </c>
      <c r="I372" s="1">
        <v>4.28999996185303</v>
      </c>
      <c r="J372" s="1">
        <v>0.0</v>
      </c>
      <c r="K372" s="1">
        <v>50.0</v>
      </c>
      <c r="L372" s="1">
        <v>6.0</v>
      </c>
      <c r="M372" s="1">
        <v>284.0</v>
      </c>
      <c r="N372" s="1">
        <v>1030.0</v>
      </c>
      <c r="O372" s="1">
        <v>2676.0</v>
      </c>
      <c r="P372" s="4">
        <f t="shared" si="1"/>
        <v>2</v>
      </c>
      <c r="Q372" s="4" t="str">
        <f t="shared" si="2"/>
        <v>Tuesday</v>
      </c>
      <c r="R372" s="4">
        <f t="shared" si="3"/>
        <v>22.05638027</v>
      </c>
      <c r="S372" s="2">
        <f t="shared" si="4"/>
        <v>0.04087591241</v>
      </c>
      <c r="T372" s="4" t="str">
        <f t="shared" si="5"/>
        <v>High</v>
      </c>
    </row>
    <row r="373">
      <c r="A373" s="1">
        <v>7.007744171E9</v>
      </c>
      <c r="B373" s="3">
        <v>42466.0</v>
      </c>
      <c r="C373" s="1">
        <v>13513.0</v>
      </c>
      <c r="D373" s="1">
        <v>10.25</v>
      </c>
      <c r="E373" s="1">
        <v>9.06999969482422</v>
      </c>
      <c r="F373" s="1">
        <v>4.83572006225586</v>
      </c>
      <c r="G373" s="1">
        <v>5.34999990463257</v>
      </c>
      <c r="H373" s="1">
        <v>0.330000013113022</v>
      </c>
      <c r="I373" s="1">
        <v>4.55999994277954</v>
      </c>
      <c r="J373" s="1">
        <v>0.0</v>
      </c>
      <c r="K373" s="1">
        <v>64.0</v>
      </c>
      <c r="L373" s="1">
        <v>8.0</v>
      </c>
      <c r="M373" s="1">
        <v>270.0</v>
      </c>
      <c r="N373" s="1">
        <v>1098.0</v>
      </c>
      <c r="O373" s="1">
        <v>2811.0</v>
      </c>
      <c r="P373" s="4">
        <f t="shared" si="1"/>
        <v>3</v>
      </c>
      <c r="Q373" s="4" t="str">
        <f t="shared" si="2"/>
        <v>Wednesday</v>
      </c>
      <c r="R373" s="4">
        <f t="shared" si="3"/>
        <v>24.15571976</v>
      </c>
      <c r="S373" s="2">
        <f t="shared" si="4"/>
        <v>0.05</v>
      </c>
      <c r="T373" s="4" t="str">
        <f t="shared" si="5"/>
        <v>High</v>
      </c>
    </row>
    <row r="374">
      <c r="A374" s="1">
        <v>7.007744171E9</v>
      </c>
      <c r="B374" s="3">
        <v>42467.0</v>
      </c>
      <c r="C374" s="1">
        <v>14100.0</v>
      </c>
      <c r="D374" s="1">
        <v>10.5799999237061</v>
      </c>
      <c r="E374" s="1">
        <v>9.43000030517578</v>
      </c>
      <c r="F374" s="1">
        <v>4.87598991394043</v>
      </c>
      <c r="G374" s="1">
        <v>5.09999990463257</v>
      </c>
      <c r="H374" s="1">
        <v>1.19000005722046</v>
      </c>
      <c r="I374" s="1">
        <v>4.28000020980835</v>
      </c>
      <c r="J374" s="1">
        <v>0.0</v>
      </c>
      <c r="K374" s="1">
        <v>61.0</v>
      </c>
      <c r="L374" s="1">
        <v>33.0</v>
      </c>
      <c r="M374" s="1">
        <v>265.0</v>
      </c>
      <c r="N374" s="1">
        <v>1015.0</v>
      </c>
      <c r="O374" s="1">
        <v>2840.0</v>
      </c>
      <c r="P374" s="4">
        <f t="shared" si="1"/>
        <v>4</v>
      </c>
      <c r="Q374" s="4" t="str">
        <f t="shared" si="2"/>
        <v>Thursday</v>
      </c>
      <c r="R374" s="4">
        <f t="shared" si="3"/>
        <v>24.88599014</v>
      </c>
      <c r="S374" s="2">
        <f t="shared" si="4"/>
        <v>0.06841339156</v>
      </c>
      <c r="T374" s="4" t="str">
        <f t="shared" si="5"/>
        <v>High</v>
      </c>
    </row>
    <row r="375">
      <c r="A375" s="1">
        <v>7.007744171E9</v>
      </c>
      <c r="B375" s="3">
        <v>42468.0</v>
      </c>
      <c r="C375" s="1">
        <v>12627.0</v>
      </c>
      <c r="D375" s="1">
        <v>9.64999961853027</v>
      </c>
      <c r="E375" s="1">
        <v>8.44999980926514</v>
      </c>
      <c r="F375" s="1">
        <v>4.84231996536255</v>
      </c>
      <c r="G375" s="1">
        <v>4.69999980926514</v>
      </c>
      <c r="H375" s="1">
        <v>0.740000009536743</v>
      </c>
      <c r="I375" s="1">
        <v>4.21000003814697</v>
      </c>
      <c r="J375" s="1">
        <v>0.0</v>
      </c>
      <c r="K375" s="1">
        <v>54.0</v>
      </c>
      <c r="L375" s="1">
        <v>22.0</v>
      </c>
      <c r="M375" s="1">
        <v>301.0</v>
      </c>
      <c r="N375" s="1">
        <v>1063.0</v>
      </c>
      <c r="O375" s="1">
        <v>2871.0</v>
      </c>
      <c r="P375" s="4">
        <f t="shared" si="1"/>
        <v>5</v>
      </c>
      <c r="Q375" s="4" t="str">
        <f t="shared" si="2"/>
        <v>Friday</v>
      </c>
      <c r="R375" s="4">
        <f t="shared" si="3"/>
        <v>22.94231939</v>
      </c>
      <c r="S375" s="2">
        <f t="shared" si="4"/>
        <v>0.05277777778</v>
      </c>
      <c r="T375" s="4" t="str">
        <f t="shared" si="5"/>
        <v>High</v>
      </c>
    </row>
    <row r="376">
      <c r="A376" s="1">
        <v>7.007744171E9</v>
      </c>
      <c r="B376" s="3">
        <v>42469.0</v>
      </c>
      <c r="C376" s="1">
        <v>10345.0</v>
      </c>
      <c r="D376" s="1">
        <v>6.92000007629395</v>
      </c>
      <c r="E376" s="1">
        <v>6.92000007629395</v>
      </c>
      <c r="F376" s="1">
        <v>0.0</v>
      </c>
      <c r="G376" s="1">
        <v>0.0700000002980232</v>
      </c>
      <c r="H376" s="1">
        <v>0.270000010728836</v>
      </c>
      <c r="I376" s="1">
        <v>6.57999992370605</v>
      </c>
      <c r="J376" s="1">
        <v>0.0</v>
      </c>
      <c r="K376" s="1">
        <v>2.0</v>
      </c>
      <c r="L376" s="1">
        <v>6.0</v>
      </c>
      <c r="M376" s="1">
        <v>358.0</v>
      </c>
      <c r="N376" s="1">
        <v>1074.0</v>
      </c>
      <c r="O376" s="1">
        <v>2613.0</v>
      </c>
      <c r="P376" s="4">
        <f t="shared" si="1"/>
        <v>6</v>
      </c>
      <c r="Q376" s="4" t="str">
        <f t="shared" si="2"/>
        <v>Saturday</v>
      </c>
      <c r="R376" s="4">
        <f t="shared" si="3"/>
        <v>13.84000015</v>
      </c>
      <c r="S376" s="2">
        <f t="shared" si="4"/>
        <v>0.005555555556</v>
      </c>
      <c r="T376" s="4" t="str">
        <f t="shared" si="5"/>
        <v>Low</v>
      </c>
    </row>
    <row r="377">
      <c r="A377" s="1">
        <v>7.007744171E9</v>
      </c>
      <c r="B377" s="3">
        <v>42470.0</v>
      </c>
      <c r="C377" s="1">
        <v>10146.0</v>
      </c>
      <c r="D377" s="1">
        <v>6.78999996185303</v>
      </c>
      <c r="E377" s="1">
        <v>6.78999996185303</v>
      </c>
      <c r="F377" s="1">
        <v>0.0</v>
      </c>
      <c r="G377" s="1">
        <v>0.0700000002980232</v>
      </c>
      <c r="H377" s="1">
        <v>0.610000014305115</v>
      </c>
      <c r="I377" s="1">
        <v>6.1100001335144</v>
      </c>
      <c r="J377" s="1">
        <v>0.0</v>
      </c>
      <c r="K377" s="1">
        <v>1.0</v>
      </c>
      <c r="L377" s="1">
        <v>12.0</v>
      </c>
      <c r="M377" s="1">
        <v>397.0</v>
      </c>
      <c r="N377" s="1">
        <v>1030.0</v>
      </c>
      <c r="O377" s="1">
        <v>2700.0</v>
      </c>
      <c r="P377" s="4">
        <f t="shared" si="1"/>
        <v>7</v>
      </c>
      <c r="Q377" s="4" t="str">
        <f t="shared" si="2"/>
        <v>Sunday</v>
      </c>
      <c r="R377" s="4">
        <f t="shared" si="3"/>
        <v>13.57999992</v>
      </c>
      <c r="S377" s="2">
        <f t="shared" si="4"/>
        <v>0.009027777778</v>
      </c>
      <c r="T377" s="4" t="str">
        <f t="shared" si="5"/>
        <v>Low</v>
      </c>
    </row>
    <row r="378">
      <c r="A378" s="1">
        <v>7.007744171E9</v>
      </c>
      <c r="B378" s="3">
        <v>42471.0</v>
      </c>
      <c r="C378" s="1">
        <v>12168.0</v>
      </c>
      <c r="D378" s="1">
        <v>8.14000034332275</v>
      </c>
      <c r="E378" s="1">
        <v>8.14000034332275</v>
      </c>
      <c r="F378" s="1">
        <v>0.0</v>
      </c>
      <c r="G378" s="1">
        <v>1.04999995231628</v>
      </c>
      <c r="H378" s="1">
        <v>0.790000021457672</v>
      </c>
      <c r="I378" s="1">
        <v>6.28999996185303</v>
      </c>
      <c r="J378" s="1">
        <v>0.0</v>
      </c>
      <c r="K378" s="1">
        <v>18.0</v>
      </c>
      <c r="L378" s="1">
        <v>27.0</v>
      </c>
      <c r="M378" s="1">
        <v>375.0</v>
      </c>
      <c r="N378" s="1">
        <v>1020.0</v>
      </c>
      <c r="O378" s="1">
        <v>2871.0</v>
      </c>
      <c r="P378" s="4">
        <f t="shared" si="1"/>
        <v>1</v>
      </c>
      <c r="Q378" s="4" t="str">
        <f t="shared" si="2"/>
        <v>Monday</v>
      </c>
      <c r="R378" s="4">
        <f t="shared" si="3"/>
        <v>16.28000069</v>
      </c>
      <c r="S378" s="2">
        <f t="shared" si="4"/>
        <v>0.03125</v>
      </c>
      <c r="T378" s="4" t="str">
        <f t="shared" si="5"/>
        <v>Moderate</v>
      </c>
    </row>
    <row r="379">
      <c r="A379" s="1">
        <v>7.007744171E9</v>
      </c>
      <c r="B379" s="3">
        <v>42472.0</v>
      </c>
      <c r="C379" s="1">
        <v>7413.0</v>
      </c>
      <c r="D379" s="1">
        <v>5.76999998092651</v>
      </c>
      <c r="E379" s="1">
        <v>4.96000003814697</v>
      </c>
      <c r="F379" s="1">
        <v>4.8697829246521</v>
      </c>
      <c r="G379" s="1">
        <v>4.5</v>
      </c>
      <c r="H379" s="1">
        <v>0.340000003576279</v>
      </c>
      <c r="I379" s="1">
        <v>0.939999997615814</v>
      </c>
      <c r="J379" s="1">
        <v>0.0</v>
      </c>
      <c r="K379" s="1">
        <v>53.0</v>
      </c>
      <c r="L379" s="1">
        <v>6.0</v>
      </c>
      <c r="M379" s="1">
        <v>43.0</v>
      </c>
      <c r="N379" s="1">
        <v>405.0</v>
      </c>
      <c r="O379" s="1">
        <v>1023.0</v>
      </c>
      <c r="P379" s="4">
        <f t="shared" si="1"/>
        <v>2</v>
      </c>
      <c r="Q379" s="4" t="str">
        <f t="shared" si="2"/>
        <v>Tuesday</v>
      </c>
      <c r="R379" s="4">
        <f t="shared" si="3"/>
        <v>15.59978294</v>
      </c>
      <c r="S379" s="2">
        <f t="shared" si="4"/>
        <v>0.1163708087</v>
      </c>
      <c r="T379" s="4" t="str">
        <f t="shared" si="5"/>
        <v>High</v>
      </c>
    </row>
    <row r="380">
      <c r="A380" s="1">
        <v>7.086361926E9</v>
      </c>
      <c r="B380" s="3">
        <v>42461.0</v>
      </c>
      <c r="C380" s="1">
        <v>11463.0</v>
      </c>
      <c r="D380" s="1">
        <v>7.67000007629395</v>
      </c>
      <c r="E380" s="1">
        <v>7.67000007629395</v>
      </c>
      <c r="F380" s="1">
        <v>0.0</v>
      </c>
      <c r="G380" s="1">
        <v>2.82999992370605</v>
      </c>
      <c r="H380" s="1">
        <v>1.88999998569489</v>
      </c>
      <c r="I380" s="1">
        <v>2.9300000667572</v>
      </c>
      <c r="J380" s="1">
        <v>0.0</v>
      </c>
      <c r="K380" s="1">
        <v>38.0</v>
      </c>
      <c r="L380" s="1">
        <v>30.0</v>
      </c>
      <c r="M380" s="1">
        <v>154.0</v>
      </c>
      <c r="N380" s="1">
        <v>777.0</v>
      </c>
      <c r="O380" s="1">
        <v>2496.0</v>
      </c>
      <c r="P380" s="4">
        <f t="shared" si="1"/>
        <v>5</v>
      </c>
      <c r="Q380" s="4" t="str">
        <f t="shared" si="2"/>
        <v>Friday</v>
      </c>
      <c r="R380" s="4">
        <f t="shared" si="3"/>
        <v>15.34000015</v>
      </c>
      <c r="S380" s="2">
        <f t="shared" si="4"/>
        <v>0.06806806807</v>
      </c>
      <c r="T380" s="4" t="str">
        <f t="shared" si="5"/>
        <v>High</v>
      </c>
    </row>
    <row r="381">
      <c r="A381" s="1">
        <v>7.086361926E9</v>
      </c>
      <c r="B381" s="3">
        <v>42462.0</v>
      </c>
      <c r="C381" s="1">
        <v>87.0</v>
      </c>
      <c r="D381" s="1">
        <v>0.0199999995529652</v>
      </c>
      <c r="E381" s="1">
        <v>0.0199999995529652</v>
      </c>
      <c r="F381" s="1">
        <v>0.0</v>
      </c>
      <c r="G381" s="1">
        <v>0.0</v>
      </c>
      <c r="H381" s="1">
        <v>0.0</v>
      </c>
      <c r="I381" s="1">
        <v>0.00999999977648258</v>
      </c>
      <c r="J381" s="1">
        <v>0.0</v>
      </c>
      <c r="K381" s="1">
        <v>0.0</v>
      </c>
      <c r="L381" s="1">
        <v>0.0</v>
      </c>
      <c r="M381" s="1">
        <v>2.0</v>
      </c>
      <c r="N381" s="1">
        <v>872.0</v>
      </c>
      <c r="O381" s="1">
        <v>1641.0</v>
      </c>
      <c r="P381" s="4">
        <f t="shared" si="1"/>
        <v>6</v>
      </c>
      <c r="Q381" s="4" t="str">
        <f t="shared" si="2"/>
        <v>Saturday</v>
      </c>
      <c r="R381" s="4">
        <f t="shared" si="3"/>
        <v>0.03999999911</v>
      </c>
      <c r="S381" s="2">
        <f t="shared" si="4"/>
        <v>0</v>
      </c>
      <c r="T381" s="4" t="str">
        <f t="shared" si="5"/>
        <v>Low</v>
      </c>
    </row>
    <row r="382">
      <c r="A382" s="1">
        <v>7.086361926E9</v>
      </c>
      <c r="B382" s="3">
        <v>42463.0</v>
      </c>
      <c r="C382" s="1">
        <v>1949.0</v>
      </c>
      <c r="D382" s="1">
        <v>1.30999994277954</v>
      </c>
      <c r="E382" s="1">
        <v>1.30999994277954</v>
      </c>
      <c r="F382" s="1">
        <v>0.0</v>
      </c>
      <c r="G382" s="1">
        <v>0.230000004172325</v>
      </c>
      <c r="H382" s="1">
        <v>0.349999994039536</v>
      </c>
      <c r="I382" s="1">
        <v>0.730000019073486</v>
      </c>
      <c r="J382" s="1">
        <v>0.0</v>
      </c>
      <c r="K382" s="1">
        <v>3.0</v>
      </c>
      <c r="L382" s="1">
        <v>6.0</v>
      </c>
      <c r="M382" s="1">
        <v>27.0</v>
      </c>
      <c r="N382" s="1">
        <v>1404.0</v>
      </c>
      <c r="O382" s="1">
        <v>1794.0</v>
      </c>
      <c r="P382" s="4">
        <f t="shared" si="1"/>
        <v>7</v>
      </c>
      <c r="Q382" s="4" t="str">
        <f t="shared" si="2"/>
        <v>Sunday</v>
      </c>
      <c r="R382" s="4">
        <f t="shared" si="3"/>
        <v>2.619999886</v>
      </c>
      <c r="S382" s="2">
        <f t="shared" si="4"/>
        <v>0.00625</v>
      </c>
      <c r="T382" s="4" t="str">
        <f t="shared" si="5"/>
        <v>Low</v>
      </c>
    </row>
    <row r="383">
      <c r="A383" s="1">
        <v>7.086361926E9</v>
      </c>
      <c r="B383" s="3">
        <v>42464.0</v>
      </c>
      <c r="C383" s="1">
        <v>6101.0</v>
      </c>
      <c r="D383" s="1">
        <v>3.86999988555908</v>
      </c>
      <c r="E383" s="1">
        <v>3.86999988555908</v>
      </c>
      <c r="F383" s="1">
        <v>0.0</v>
      </c>
      <c r="G383" s="1">
        <v>0.529999971389771</v>
      </c>
      <c r="H383" s="1">
        <v>0.230000004172325</v>
      </c>
      <c r="I383" s="1">
        <v>3.09999990463257</v>
      </c>
      <c r="J383" s="1">
        <v>0.0</v>
      </c>
      <c r="K383" s="1">
        <v>31.0</v>
      </c>
      <c r="L383" s="1">
        <v>24.0</v>
      </c>
      <c r="M383" s="1">
        <v>138.0</v>
      </c>
      <c r="N383" s="1">
        <v>1247.0</v>
      </c>
      <c r="O383" s="1">
        <v>2421.0</v>
      </c>
      <c r="P383" s="4">
        <f t="shared" si="1"/>
        <v>1</v>
      </c>
      <c r="Q383" s="4" t="str">
        <f t="shared" si="2"/>
        <v>Monday</v>
      </c>
      <c r="R383" s="4">
        <f t="shared" si="3"/>
        <v>7.739999771</v>
      </c>
      <c r="S383" s="2">
        <f t="shared" si="4"/>
        <v>0.03819444444</v>
      </c>
      <c r="T383" s="4" t="str">
        <f t="shared" si="5"/>
        <v>High</v>
      </c>
    </row>
    <row r="384">
      <c r="A384" s="1">
        <v>7.086361926E9</v>
      </c>
      <c r="B384" s="3">
        <v>42465.0</v>
      </c>
      <c r="C384" s="1">
        <v>7478.0</v>
      </c>
      <c r="D384" s="1">
        <v>4.98999977111816</v>
      </c>
      <c r="E384" s="1">
        <v>4.98999977111816</v>
      </c>
      <c r="F384" s="1">
        <v>0.0</v>
      </c>
      <c r="G384" s="1">
        <v>1.79999995231628</v>
      </c>
      <c r="H384" s="1">
        <v>0.529999971389771</v>
      </c>
      <c r="I384" s="1">
        <v>2.60999989509583</v>
      </c>
      <c r="J384" s="1">
        <v>0.0299999993294477</v>
      </c>
      <c r="K384" s="1">
        <v>25.0</v>
      </c>
      <c r="L384" s="1">
        <v>33.0</v>
      </c>
      <c r="M384" s="1">
        <v>132.0</v>
      </c>
      <c r="N384" s="1">
        <v>1159.0</v>
      </c>
      <c r="O384" s="1">
        <v>2439.0</v>
      </c>
      <c r="P384" s="4">
        <f t="shared" si="1"/>
        <v>2</v>
      </c>
      <c r="Q384" s="4" t="str">
        <f t="shared" si="2"/>
        <v>Tuesday</v>
      </c>
      <c r="R384" s="4">
        <f t="shared" si="3"/>
        <v>9.979999542</v>
      </c>
      <c r="S384" s="2">
        <f t="shared" si="4"/>
        <v>0.04299481097</v>
      </c>
      <c r="T384" s="4" t="str">
        <f t="shared" si="5"/>
        <v>Moderate</v>
      </c>
    </row>
    <row r="385">
      <c r="A385" s="1">
        <v>7.086361926E9</v>
      </c>
      <c r="B385" s="3">
        <v>42466.0</v>
      </c>
      <c r="C385" s="1">
        <v>7352.0</v>
      </c>
      <c r="D385" s="1">
        <v>4.73000001907349</v>
      </c>
      <c r="E385" s="1">
        <v>4.73000001907349</v>
      </c>
      <c r="F385" s="1">
        <v>0.0</v>
      </c>
      <c r="G385" s="1">
        <v>1.4099999666214</v>
      </c>
      <c r="H385" s="1">
        <v>0.779999971389771</v>
      </c>
      <c r="I385" s="1">
        <v>2.52999997138977</v>
      </c>
      <c r="J385" s="1">
        <v>0.0</v>
      </c>
      <c r="K385" s="1">
        <v>19.0</v>
      </c>
      <c r="L385" s="1">
        <v>14.0</v>
      </c>
      <c r="M385" s="1">
        <v>124.0</v>
      </c>
      <c r="N385" s="1">
        <v>814.0</v>
      </c>
      <c r="O385" s="1">
        <v>2233.0</v>
      </c>
      <c r="P385" s="4">
        <f t="shared" si="1"/>
        <v>3</v>
      </c>
      <c r="Q385" s="4" t="str">
        <f t="shared" si="2"/>
        <v>Wednesday</v>
      </c>
      <c r="R385" s="4">
        <f t="shared" si="3"/>
        <v>9.460000038</v>
      </c>
      <c r="S385" s="2">
        <f t="shared" si="4"/>
        <v>0.03398558187</v>
      </c>
      <c r="T385" s="4" t="str">
        <f t="shared" si="5"/>
        <v>Moderate</v>
      </c>
    </row>
    <row r="386">
      <c r="A386" s="1">
        <v>7.086361926E9</v>
      </c>
      <c r="B386" s="3">
        <v>42467.0</v>
      </c>
      <c r="C386" s="1">
        <v>14604.0</v>
      </c>
      <c r="D386" s="1">
        <v>10.8199996948242</v>
      </c>
      <c r="E386" s="1">
        <v>10.8199996948242</v>
      </c>
      <c r="F386" s="1">
        <v>0.0</v>
      </c>
      <c r="G386" s="1">
        <v>7.23000001907349</v>
      </c>
      <c r="H386" s="1">
        <v>1.12000000476837</v>
      </c>
      <c r="I386" s="1">
        <v>2.4300000667572</v>
      </c>
      <c r="J386" s="1">
        <v>0.0299999993294477</v>
      </c>
      <c r="K386" s="1">
        <v>76.0</v>
      </c>
      <c r="L386" s="1">
        <v>30.0</v>
      </c>
      <c r="M386" s="1">
        <v>127.0</v>
      </c>
      <c r="N386" s="1">
        <v>695.0</v>
      </c>
      <c r="O386" s="1">
        <v>2862.0</v>
      </c>
      <c r="P386" s="4">
        <f t="shared" si="1"/>
        <v>4</v>
      </c>
      <c r="Q386" s="4" t="str">
        <f t="shared" si="2"/>
        <v>Thursday</v>
      </c>
      <c r="R386" s="4">
        <f t="shared" si="3"/>
        <v>21.63999939</v>
      </c>
      <c r="S386" s="2">
        <f t="shared" si="4"/>
        <v>0.1142241379</v>
      </c>
      <c r="T386" s="4" t="str">
        <f t="shared" si="5"/>
        <v>High</v>
      </c>
    </row>
    <row r="387">
      <c r="A387" s="1">
        <v>7.086361926E9</v>
      </c>
      <c r="B387" s="3">
        <v>42468.0</v>
      </c>
      <c r="C387" s="1">
        <v>9634.0</v>
      </c>
      <c r="D387" s="1">
        <v>6.51999998092651</v>
      </c>
      <c r="E387" s="1">
        <v>6.51999998092651</v>
      </c>
      <c r="F387" s="1">
        <v>0.0</v>
      </c>
      <c r="G387" s="1">
        <v>2.5</v>
      </c>
      <c r="H387" s="1">
        <v>1.39999997615814</v>
      </c>
      <c r="I387" s="1">
        <v>2.58999991416931</v>
      </c>
      <c r="J387" s="1">
        <v>0.0</v>
      </c>
      <c r="K387" s="1">
        <v>50.0</v>
      </c>
      <c r="L387" s="1">
        <v>48.0</v>
      </c>
      <c r="M387" s="1">
        <v>140.0</v>
      </c>
      <c r="N387" s="1">
        <v>797.0</v>
      </c>
      <c r="O387" s="1">
        <v>2752.0</v>
      </c>
      <c r="P387" s="4">
        <f t="shared" si="1"/>
        <v>5</v>
      </c>
      <c r="Q387" s="4" t="str">
        <f t="shared" si="2"/>
        <v>Friday</v>
      </c>
      <c r="R387" s="4">
        <f t="shared" si="3"/>
        <v>13.03999996</v>
      </c>
      <c r="S387" s="2">
        <f t="shared" si="4"/>
        <v>0.09468599034</v>
      </c>
      <c r="T387" s="4" t="str">
        <f t="shared" si="5"/>
        <v>High</v>
      </c>
    </row>
    <row r="388">
      <c r="A388" s="1">
        <v>7.086361926E9</v>
      </c>
      <c r="B388" s="3">
        <v>42469.0</v>
      </c>
      <c r="C388" s="1">
        <v>7338.0</v>
      </c>
      <c r="D388" s="1">
        <v>4.67000007629395</v>
      </c>
      <c r="E388" s="1">
        <v>4.67000007629395</v>
      </c>
      <c r="F388" s="1">
        <v>0.0</v>
      </c>
      <c r="G388" s="1">
        <v>1.08000004291534</v>
      </c>
      <c r="H388" s="1">
        <v>0.129999995231628</v>
      </c>
      <c r="I388" s="1">
        <v>3.46000003814697</v>
      </c>
      <c r="J388" s="1">
        <v>0.0</v>
      </c>
      <c r="K388" s="1">
        <v>27.0</v>
      </c>
      <c r="L388" s="1">
        <v>5.0</v>
      </c>
      <c r="M388" s="1">
        <v>204.0</v>
      </c>
      <c r="N388" s="1">
        <v>717.0</v>
      </c>
      <c r="O388" s="1">
        <v>2519.0</v>
      </c>
      <c r="P388" s="4">
        <f t="shared" si="1"/>
        <v>6</v>
      </c>
      <c r="Q388" s="4" t="str">
        <f t="shared" si="2"/>
        <v>Saturday</v>
      </c>
      <c r="R388" s="4">
        <f t="shared" si="3"/>
        <v>9.340000153</v>
      </c>
      <c r="S388" s="2">
        <f t="shared" si="4"/>
        <v>0.03357817419</v>
      </c>
      <c r="T388" s="4" t="str">
        <f t="shared" si="5"/>
        <v>Moderate</v>
      </c>
    </row>
    <row r="389">
      <c r="A389" s="1">
        <v>7.086361926E9</v>
      </c>
      <c r="B389" s="3">
        <v>42470.0</v>
      </c>
      <c r="C389" s="1">
        <v>569.0</v>
      </c>
      <c r="D389" s="1">
        <v>0.349999994039536</v>
      </c>
      <c r="E389" s="1">
        <v>0.349999994039536</v>
      </c>
      <c r="F389" s="1">
        <v>0.0</v>
      </c>
      <c r="G389" s="1">
        <v>0.0</v>
      </c>
      <c r="H389" s="1">
        <v>0.0</v>
      </c>
      <c r="I389" s="1">
        <v>0.340000003576279</v>
      </c>
      <c r="J389" s="1">
        <v>0.0</v>
      </c>
      <c r="K389" s="1">
        <v>0.0</v>
      </c>
      <c r="L389" s="1">
        <v>0.0</v>
      </c>
      <c r="M389" s="1">
        <v>27.0</v>
      </c>
      <c r="N389" s="1">
        <v>1368.0</v>
      </c>
      <c r="O389" s="1">
        <v>1799.0</v>
      </c>
      <c r="P389" s="4">
        <f t="shared" si="1"/>
        <v>7</v>
      </c>
      <c r="Q389" s="4" t="str">
        <f t="shared" si="2"/>
        <v>Sunday</v>
      </c>
      <c r="R389" s="4">
        <f t="shared" si="3"/>
        <v>0.6999999881</v>
      </c>
      <c r="S389" s="2">
        <f t="shared" si="4"/>
        <v>0</v>
      </c>
      <c r="T389" s="4" t="str">
        <f t="shared" si="5"/>
        <v>Low</v>
      </c>
    </row>
    <row r="390">
      <c r="A390" s="1">
        <v>7.086361926E9</v>
      </c>
      <c r="B390" s="3">
        <v>42471.0</v>
      </c>
      <c r="C390" s="1">
        <v>6242.0</v>
      </c>
      <c r="D390" s="1">
        <v>3.92000007629395</v>
      </c>
      <c r="E390" s="1">
        <v>3.92000007629395</v>
      </c>
      <c r="F390" s="1">
        <v>0.0</v>
      </c>
      <c r="G390" s="1">
        <v>0.740000009536743</v>
      </c>
      <c r="H390" s="1">
        <v>0.230000004172325</v>
      </c>
      <c r="I390" s="1">
        <v>2.9300000667572</v>
      </c>
      <c r="J390" s="1">
        <v>0.0</v>
      </c>
      <c r="K390" s="1">
        <v>46.0</v>
      </c>
      <c r="L390" s="1">
        <v>22.0</v>
      </c>
      <c r="M390" s="1">
        <v>126.0</v>
      </c>
      <c r="N390" s="1">
        <v>741.0</v>
      </c>
      <c r="O390" s="1">
        <v>2543.0</v>
      </c>
      <c r="P390" s="4">
        <f t="shared" si="1"/>
        <v>1</v>
      </c>
      <c r="Q390" s="4" t="str">
        <f t="shared" si="2"/>
        <v>Monday</v>
      </c>
      <c r="R390" s="4">
        <f t="shared" si="3"/>
        <v>7.840000153</v>
      </c>
      <c r="S390" s="2">
        <f t="shared" si="4"/>
        <v>0.07272727273</v>
      </c>
      <c r="T390" s="4" t="str">
        <f t="shared" si="5"/>
        <v>High</v>
      </c>
    </row>
    <row r="391">
      <c r="A391" s="1">
        <v>7.086361926E9</v>
      </c>
      <c r="B391" s="3">
        <v>42472.0</v>
      </c>
      <c r="C391" s="1">
        <v>430.0</v>
      </c>
      <c r="D391" s="1">
        <v>0.259999990463257</v>
      </c>
      <c r="E391" s="1">
        <v>0.259999990463257</v>
      </c>
      <c r="F391" s="1">
        <v>0.0</v>
      </c>
      <c r="G391" s="1">
        <v>0.0</v>
      </c>
      <c r="H391" s="1">
        <v>0.0</v>
      </c>
      <c r="I391" s="1">
        <v>0.259999990463257</v>
      </c>
      <c r="J391" s="1">
        <v>0.0</v>
      </c>
      <c r="K391" s="1">
        <v>0.0</v>
      </c>
      <c r="L391" s="1">
        <v>0.0</v>
      </c>
      <c r="M391" s="1">
        <v>14.0</v>
      </c>
      <c r="N391" s="1">
        <v>75.0</v>
      </c>
      <c r="O391" s="1">
        <v>625.0</v>
      </c>
      <c r="P391" s="4">
        <f t="shared" si="1"/>
        <v>2</v>
      </c>
      <c r="Q391" s="4" t="str">
        <f t="shared" si="2"/>
        <v>Tuesday</v>
      </c>
      <c r="R391" s="4">
        <f t="shared" si="3"/>
        <v>0.5199999809</v>
      </c>
      <c r="S391" s="2">
        <f t="shared" si="4"/>
        <v>0</v>
      </c>
      <c r="T391" s="4" t="str">
        <f t="shared" si="5"/>
        <v>Low</v>
      </c>
    </row>
    <row r="392">
      <c r="A392" s="1">
        <v>8.053475328E9</v>
      </c>
      <c r="B392" s="3">
        <v>42462.0</v>
      </c>
      <c r="C392" s="1">
        <v>20188.0</v>
      </c>
      <c r="D392" s="1">
        <v>15.6199998855591</v>
      </c>
      <c r="E392" s="1">
        <v>15.6199998855591</v>
      </c>
      <c r="F392" s="1">
        <v>0.0</v>
      </c>
      <c r="G392" s="1">
        <v>12.0600004196167</v>
      </c>
      <c r="H392" s="1">
        <v>0.850000023841858</v>
      </c>
      <c r="I392" s="1">
        <v>2.71000003814697</v>
      </c>
      <c r="J392" s="1">
        <v>0.0</v>
      </c>
      <c r="K392" s="1">
        <v>124.0</v>
      </c>
      <c r="L392" s="1">
        <v>19.0</v>
      </c>
      <c r="M392" s="1">
        <v>172.0</v>
      </c>
      <c r="N392" s="1">
        <v>1125.0</v>
      </c>
      <c r="O392" s="1">
        <v>3377.0</v>
      </c>
      <c r="P392" s="4">
        <f t="shared" si="1"/>
        <v>6</v>
      </c>
      <c r="Q392" s="4" t="str">
        <f t="shared" si="2"/>
        <v>Saturday</v>
      </c>
      <c r="R392" s="4">
        <f t="shared" si="3"/>
        <v>31.23999977</v>
      </c>
      <c r="S392" s="2">
        <f t="shared" si="4"/>
        <v>0.09930555556</v>
      </c>
      <c r="T392" s="4" t="str">
        <f t="shared" si="5"/>
        <v>High</v>
      </c>
    </row>
    <row r="393">
      <c r="A393" s="1">
        <v>8.053475328E9</v>
      </c>
      <c r="B393" s="3">
        <v>42463.0</v>
      </c>
      <c r="C393" s="1">
        <v>25701.0</v>
      </c>
      <c r="D393" s="1">
        <v>20.1399993896484</v>
      </c>
      <c r="E393" s="1">
        <v>20.1399993896484</v>
      </c>
      <c r="F393" s="1">
        <v>0.0</v>
      </c>
      <c r="G393" s="1">
        <v>16.8199996948242</v>
      </c>
      <c r="H393" s="1">
        <v>1.62999999523163</v>
      </c>
      <c r="I393" s="1">
        <v>1.69000005722046</v>
      </c>
      <c r="J393" s="1">
        <v>0.0</v>
      </c>
      <c r="K393" s="1">
        <v>165.0</v>
      </c>
      <c r="L393" s="1">
        <v>36.0</v>
      </c>
      <c r="M393" s="1">
        <v>97.0</v>
      </c>
      <c r="N393" s="1">
        <v>1142.0</v>
      </c>
      <c r="O393" s="1">
        <v>3697.0</v>
      </c>
      <c r="P393" s="4">
        <f t="shared" si="1"/>
        <v>7</v>
      </c>
      <c r="Q393" s="4" t="str">
        <f t="shared" si="2"/>
        <v>Sunday</v>
      </c>
      <c r="R393" s="4">
        <f t="shared" si="3"/>
        <v>40.27999878</v>
      </c>
      <c r="S393" s="2">
        <f t="shared" si="4"/>
        <v>0.1395833333</v>
      </c>
      <c r="T393" s="4" t="str">
        <f t="shared" si="5"/>
        <v>High</v>
      </c>
    </row>
    <row r="394">
      <c r="A394" s="1">
        <v>8.053475328E9</v>
      </c>
      <c r="B394" s="3">
        <v>42464.0</v>
      </c>
      <c r="C394" s="1">
        <v>17395.0</v>
      </c>
      <c r="D394" s="1">
        <v>13.210000038147</v>
      </c>
      <c r="E394" s="1">
        <v>13.210000038147</v>
      </c>
      <c r="F394" s="1">
        <v>0.0</v>
      </c>
      <c r="G394" s="1">
        <v>9.67000007629395</v>
      </c>
      <c r="H394" s="1">
        <v>0.180000007152557</v>
      </c>
      <c r="I394" s="1">
        <v>3.34999990463257</v>
      </c>
      <c r="J394" s="1">
        <v>0.0</v>
      </c>
      <c r="K394" s="1">
        <v>100.0</v>
      </c>
      <c r="L394" s="1">
        <v>4.0</v>
      </c>
      <c r="M394" s="1">
        <v>213.0</v>
      </c>
      <c r="N394" s="1">
        <v>1123.0</v>
      </c>
      <c r="O394" s="1">
        <v>3209.0</v>
      </c>
      <c r="P394" s="4">
        <f t="shared" si="1"/>
        <v>1</v>
      </c>
      <c r="Q394" s="4" t="str">
        <f t="shared" si="2"/>
        <v>Monday</v>
      </c>
      <c r="R394" s="4">
        <f t="shared" si="3"/>
        <v>26.42000008</v>
      </c>
      <c r="S394" s="2">
        <f t="shared" si="4"/>
        <v>0.07222222222</v>
      </c>
      <c r="T394" s="4" t="str">
        <f t="shared" si="5"/>
        <v>High</v>
      </c>
    </row>
    <row r="395">
      <c r="A395" s="1">
        <v>8.053475328E9</v>
      </c>
      <c r="B395" s="3">
        <v>42465.0</v>
      </c>
      <c r="C395" s="1">
        <v>17167.0</v>
      </c>
      <c r="D395" s="1">
        <v>13.4099998474121</v>
      </c>
      <c r="E395" s="1">
        <v>13.4099998474121</v>
      </c>
      <c r="F395" s="1">
        <v>0.0</v>
      </c>
      <c r="G395" s="1">
        <v>9.96000003814697</v>
      </c>
      <c r="H395" s="1">
        <v>0.310000002384186</v>
      </c>
      <c r="I395" s="1">
        <v>3.14000010490417</v>
      </c>
      <c r="J395" s="1">
        <v>0.0</v>
      </c>
      <c r="K395" s="1">
        <v>98.0</v>
      </c>
      <c r="L395" s="1">
        <v>8.0</v>
      </c>
      <c r="M395" s="1">
        <v>184.0</v>
      </c>
      <c r="N395" s="1">
        <v>1150.0</v>
      </c>
      <c r="O395" s="1">
        <v>3167.0</v>
      </c>
      <c r="P395" s="4">
        <f t="shared" si="1"/>
        <v>2</v>
      </c>
      <c r="Q395" s="4" t="str">
        <f t="shared" si="2"/>
        <v>Tuesday</v>
      </c>
      <c r="R395" s="4">
        <f t="shared" si="3"/>
        <v>26.81999969</v>
      </c>
      <c r="S395" s="2">
        <f t="shared" si="4"/>
        <v>0.07361111111</v>
      </c>
      <c r="T395" s="4" t="str">
        <f t="shared" si="5"/>
        <v>High</v>
      </c>
    </row>
    <row r="396">
      <c r="A396" s="1">
        <v>8.053475328E9</v>
      </c>
      <c r="B396" s="3">
        <v>42466.0</v>
      </c>
      <c r="C396" s="1">
        <v>16435.0</v>
      </c>
      <c r="D396" s="1">
        <v>12.4200000762939</v>
      </c>
      <c r="E396" s="1">
        <v>12.4200000762939</v>
      </c>
      <c r="F396" s="1">
        <v>0.0</v>
      </c>
      <c r="G396" s="1">
        <v>8.96000003814697</v>
      </c>
      <c r="H396" s="1">
        <v>0.550000011920929</v>
      </c>
      <c r="I396" s="1">
        <v>2.91000008583069</v>
      </c>
      <c r="J396" s="1">
        <v>0.0</v>
      </c>
      <c r="K396" s="1">
        <v>100.0</v>
      </c>
      <c r="L396" s="1">
        <v>14.0</v>
      </c>
      <c r="M396" s="1">
        <v>191.0</v>
      </c>
      <c r="N396" s="1">
        <v>1135.0</v>
      </c>
      <c r="O396" s="1">
        <v>3122.0</v>
      </c>
      <c r="P396" s="4">
        <f t="shared" si="1"/>
        <v>3</v>
      </c>
      <c r="Q396" s="4" t="str">
        <f t="shared" si="2"/>
        <v>Wednesday</v>
      </c>
      <c r="R396" s="4">
        <f t="shared" si="3"/>
        <v>24.84000015</v>
      </c>
      <c r="S396" s="2">
        <f t="shared" si="4"/>
        <v>0.07916666667</v>
      </c>
      <c r="T396" s="4" t="str">
        <f t="shared" si="5"/>
        <v>High</v>
      </c>
    </row>
    <row r="397">
      <c r="A397" s="1">
        <v>8.053475328E9</v>
      </c>
      <c r="B397" s="3">
        <v>42467.0</v>
      </c>
      <c r="C397" s="1">
        <v>17078.0</v>
      </c>
      <c r="D397" s="1">
        <v>13.1999998092651</v>
      </c>
      <c r="E397" s="1">
        <v>13.1999998092651</v>
      </c>
      <c r="F397" s="1">
        <v>0.0</v>
      </c>
      <c r="G397" s="1">
        <v>9.97000026702881</v>
      </c>
      <c r="H397" s="1">
        <v>0.239999994635582</v>
      </c>
      <c r="I397" s="1">
        <v>2.99000000953674</v>
      </c>
      <c r="J397" s="1">
        <v>0.0</v>
      </c>
      <c r="K397" s="1">
        <v>101.0</v>
      </c>
      <c r="L397" s="1">
        <v>6.0</v>
      </c>
      <c r="M397" s="1">
        <v>190.0</v>
      </c>
      <c r="N397" s="1">
        <v>1143.0</v>
      </c>
      <c r="O397" s="1">
        <v>3176.0</v>
      </c>
      <c r="P397" s="4">
        <f t="shared" si="1"/>
        <v>4</v>
      </c>
      <c r="Q397" s="4" t="str">
        <f t="shared" si="2"/>
        <v>Thursday</v>
      </c>
      <c r="R397" s="4">
        <f t="shared" si="3"/>
        <v>26.39999962</v>
      </c>
      <c r="S397" s="2">
        <f t="shared" si="4"/>
        <v>0.07430555556</v>
      </c>
      <c r="T397" s="4" t="str">
        <f t="shared" si="5"/>
        <v>High</v>
      </c>
    </row>
    <row r="398">
      <c r="A398" s="1">
        <v>8.053475328E9</v>
      </c>
      <c r="B398" s="3">
        <v>42468.0</v>
      </c>
      <c r="C398" s="1">
        <v>11693.0</v>
      </c>
      <c r="D398" s="1">
        <v>9.53999996185303</v>
      </c>
      <c r="E398" s="1">
        <v>9.53999996185303</v>
      </c>
      <c r="F398" s="1">
        <v>0.0</v>
      </c>
      <c r="G398" s="1">
        <v>6.76999998092651</v>
      </c>
      <c r="H398" s="1">
        <v>0.259999990463257</v>
      </c>
      <c r="I398" s="1">
        <v>2.5</v>
      </c>
      <c r="J398" s="1">
        <v>0.0</v>
      </c>
      <c r="K398" s="1">
        <v>60.0</v>
      </c>
      <c r="L398" s="1">
        <v>6.0</v>
      </c>
      <c r="M398" s="1">
        <v>153.0</v>
      </c>
      <c r="N398" s="1">
        <v>1221.0</v>
      </c>
      <c r="O398" s="1">
        <v>2790.0</v>
      </c>
      <c r="P398" s="4">
        <f t="shared" si="1"/>
        <v>5</v>
      </c>
      <c r="Q398" s="4" t="str">
        <f t="shared" si="2"/>
        <v>Friday</v>
      </c>
      <c r="R398" s="4">
        <f t="shared" si="3"/>
        <v>19.07999992</v>
      </c>
      <c r="S398" s="2">
        <f t="shared" si="4"/>
        <v>0.04583333333</v>
      </c>
      <c r="T398" s="4" t="str">
        <f t="shared" si="5"/>
        <v>High</v>
      </c>
    </row>
    <row r="399">
      <c r="A399" s="1">
        <v>8.053475328E9</v>
      </c>
      <c r="B399" s="3">
        <v>42469.0</v>
      </c>
      <c r="C399" s="1">
        <v>11159.0</v>
      </c>
      <c r="D399" s="1">
        <v>9.14000034332275</v>
      </c>
      <c r="E399" s="1">
        <v>9.14000034332275</v>
      </c>
      <c r="F399" s="1">
        <v>0.0</v>
      </c>
      <c r="G399" s="1">
        <v>6.69000005722046</v>
      </c>
      <c r="H399" s="1">
        <v>0.25</v>
      </c>
      <c r="I399" s="1">
        <v>2.19000005722046</v>
      </c>
      <c r="J399" s="1">
        <v>0.0</v>
      </c>
      <c r="K399" s="1">
        <v>59.0</v>
      </c>
      <c r="L399" s="1">
        <v>6.0</v>
      </c>
      <c r="M399" s="1">
        <v>120.0</v>
      </c>
      <c r="N399" s="1">
        <v>1255.0</v>
      </c>
      <c r="O399" s="1">
        <v>2715.0</v>
      </c>
      <c r="P399" s="4">
        <f t="shared" si="1"/>
        <v>6</v>
      </c>
      <c r="Q399" s="4" t="str">
        <f t="shared" si="2"/>
        <v>Saturday</v>
      </c>
      <c r="R399" s="4">
        <f t="shared" si="3"/>
        <v>18.28000069</v>
      </c>
      <c r="S399" s="2">
        <f t="shared" si="4"/>
        <v>0.04513888889</v>
      </c>
      <c r="T399" s="4" t="str">
        <f t="shared" si="5"/>
        <v>High</v>
      </c>
    </row>
    <row r="400">
      <c r="A400" s="1">
        <v>8.053475328E9</v>
      </c>
      <c r="B400" s="3">
        <v>42470.0</v>
      </c>
      <c r="C400" s="1">
        <v>10118.0</v>
      </c>
      <c r="D400" s="1">
        <v>7.73000001907349</v>
      </c>
      <c r="E400" s="1">
        <v>7.73000001907349</v>
      </c>
      <c r="F400" s="1">
        <v>0.0</v>
      </c>
      <c r="G400" s="1">
        <v>3.04999995231628</v>
      </c>
      <c r="H400" s="1">
        <v>0.800000011920929</v>
      </c>
      <c r="I400" s="1">
        <v>3.88000011444092</v>
      </c>
      <c r="J400" s="1">
        <v>0.0</v>
      </c>
      <c r="K400" s="1">
        <v>30.0</v>
      </c>
      <c r="L400" s="1">
        <v>18.0</v>
      </c>
      <c r="M400" s="1">
        <v>207.0</v>
      </c>
      <c r="N400" s="1">
        <v>1185.0</v>
      </c>
      <c r="O400" s="1">
        <v>2684.0</v>
      </c>
      <c r="P400" s="4">
        <f t="shared" si="1"/>
        <v>7</v>
      </c>
      <c r="Q400" s="4" t="str">
        <f t="shared" si="2"/>
        <v>Sunday</v>
      </c>
      <c r="R400" s="4">
        <f t="shared" si="3"/>
        <v>15.46000004</v>
      </c>
      <c r="S400" s="2">
        <f t="shared" si="4"/>
        <v>0.03333333333</v>
      </c>
      <c r="T400" s="4" t="str">
        <f t="shared" si="5"/>
        <v>High</v>
      </c>
    </row>
    <row r="401">
      <c r="A401" s="1">
        <v>8.053475328E9</v>
      </c>
      <c r="B401" s="3">
        <v>42471.0</v>
      </c>
      <c r="C401" s="1">
        <v>16064.0</v>
      </c>
      <c r="D401" s="1">
        <v>12.7200002670288</v>
      </c>
      <c r="E401" s="1">
        <v>12.7200002670288</v>
      </c>
      <c r="F401" s="1">
        <v>0.0</v>
      </c>
      <c r="G401" s="1">
        <v>9.97999954223633</v>
      </c>
      <c r="H401" s="1">
        <v>0.360000014305115</v>
      </c>
      <c r="I401" s="1">
        <v>2.38000011444092</v>
      </c>
      <c r="J401" s="1">
        <v>0.0</v>
      </c>
      <c r="K401" s="1">
        <v>96.0</v>
      </c>
      <c r="L401" s="1">
        <v>8.0</v>
      </c>
      <c r="M401" s="1">
        <v>155.0</v>
      </c>
      <c r="N401" s="1">
        <v>1181.0</v>
      </c>
      <c r="O401" s="1">
        <v>3097.0</v>
      </c>
      <c r="P401" s="4">
        <f t="shared" si="1"/>
        <v>1</v>
      </c>
      <c r="Q401" s="4" t="str">
        <f t="shared" si="2"/>
        <v>Monday</v>
      </c>
      <c r="R401" s="4">
        <f t="shared" si="3"/>
        <v>25.44000053</v>
      </c>
      <c r="S401" s="2">
        <f t="shared" si="4"/>
        <v>0.07222222222</v>
      </c>
      <c r="T401" s="4" t="str">
        <f t="shared" si="5"/>
        <v>High</v>
      </c>
    </row>
    <row r="402">
      <c r="A402" s="1">
        <v>8.053475328E9</v>
      </c>
      <c r="B402" s="3">
        <v>42472.0</v>
      </c>
      <c r="C402" s="1">
        <v>290.0</v>
      </c>
      <c r="D402" s="1">
        <v>0.209999993443489</v>
      </c>
      <c r="E402" s="1">
        <v>0.209999993443489</v>
      </c>
      <c r="F402" s="1">
        <v>0.0</v>
      </c>
      <c r="G402" s="1">
        <v>0.0</v>
      </c>
      <c r="H402" s="1">
        <v>0.0</v>
      </c>
      <c r="I402" s="1">
        <v>0.209999993443489</v>
      </c>
      <c r="J402" s="1">
        <v>0.0</v>
      </c>
      <c r="K402" s="1">
        <v>0.0</v>
      </c>
      <c r="L402" s="1">
        <v>0.0</v>
      </c>
      <c r="M402" s="1">
        <v>16.0</v>
      </c>
      <c r="N402" s="1">
        <v>599.0</v>
      </c>
      <c r="O402" s="1">
        <v>791.0</v>
      </c>
      <c r="P402" s="4">
        <f t="shared" si="1"/>
        <v>2</v>
      </c>
      <c r="Q402" s="4" t="str">
        <f t="shared" si="2"/>
        <v>Tuesday</v>
      </c>
      <c r="R402" s="4">
        <f t="shared" si="3"/>
        <v>0.4199999869</v>
      </c>
      <c r="S402" s="2">
        <f t="shared" si="4"/>
        <v>0</v>
      </c>
      <c r="T402" s="4" t="str">
        <f t="shared" si="5"/>
        <v>Low</v>
      </c>
    </row>
    <row r="403">
      <c r="A403" s="1">
        <v>8.253242879E9</v>
      </c>
      <c r="B403" s="3">
        <v>42461.0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1440.0</v>
      </c>
      <c r="O403" s="1">
        <v>1429.0</v>
      </c>
      <c r="P403" s="4">
        <f t="shared" si="1"/>
        <v>5</v>
      </c>
      <c r="Q403" s="4" t="str">
        <f t="shared" si="2"/>
        <v>Friday</v>
      </c>
      <c r="R403" s="4">
        <f t="shared" si="3"/>
        <v>0</v>
      </c>
      <c r="S403" s="2">
        <f t="shared" si="4"/>
        <v>0</v>
      </c>
      <c r="T403" s="4" t="str">
        <f t="shared" si="5"/>
        <v>Low</v>
      </c>
    </row>
    <row r="404">
      <c r="A404" s="1">
        <v>8.253242879E9</v>
      </c>
      <c r="B404" s="3">
        <v>42462.0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1440.0</v>
      </c>
      <c r="O404" s="1">
        <v>1429.0</v>
      </c>
      <c r="P404" s="4">
        <f t="shared" si="1"/>
        <v>6</v>
      </c>
      <c r="Q404" s="4" t="str">
        <f t="shared" si="2"/>
        <v>Saturday</v>
      </c>
      <c r="R404" s="4">
        <f t="shared" si="3"/>
        <v>0</v>
      </c>
      <c r="S404" s="2">
        <f t="shared" si="4"/>
        <v>0</v>
      </c>
      <c r="T404" s="4" t="str">
        <f t="shared" si="5"/>
        <v>Low</v>
      </c>
    </row>
    <row r="405">
      <c r="A405" s="1">
        <v>8.253242879E9</v>
      </c>
      <c r="B405" s="3">
        <v>42463.0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1440.0</v>
      </c>
      <c r="O405" s="1">
        <v>1429.0</v>
      </c>
      <c r="P405" s="4">
        <f t="shared" si="1"/>
        <v>7</v>
      </c>
      <c r="Q405" s="4" t="str">
        <f t="shared" si="2"/>
        <v>Sunday</v>
      </c>
      <c r="R405" s="4">
        <f t="shared" si="3"/>
        <v>0</v>
      </c>
      <c r="S405" s="2">
        <f t="shared" si="4"/>
        <v>0</v>
      </c>
      <c r="T405" s="4" t="str">
        <f t="shared" si="5"/>
        <v>Low</v>
      </c>
    </row>
    <row r="406">
      <c r="A406" s="1">
        <v>8.253242879E9</v>
      </c>
      <c r="B406" s="3">
        <v>42464.0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1440.0</v>
      </c>
      <c r="O406" s="1">
        <v>1429.0</v>
      </c>
      <c r="P406" s="4">
        <f t="shared" si="1"/>
        <v>1</v>
      </c>
      <c r="Q406" s="4" t="str">
        <f t="shared" si="2"/>
        <v>Monday</v>
      </c>
      <c r="R406" s="4">
        <f t="shared" si="3"/>
        <v>0</v>
      </c>
      <c r="S406" s="2">
        <f t="shared" si="4"/>
        <v>0</v>
      </c>
      <c r="T406" s="4" t="str">
        <f t="shared" si="5"/>
        <v>Low</v>
      </c>
    </row>
    <row r="407">
      <c r="A407" s="1">
        <v>8.253242879E9</v>
      </c>
      <c r="B407" s="3">
        <v>42465.0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1440.0</v>
      </c>
      <c r="O407" s="1">
        <v>1429.0</v>
      </c>
      <c r="P407" s="4">
        <f t="shared" si="1"/>
        <v>2</v>
      </c>
      <c r="Q407" s="4" t="str">
        <f t="shared" si="2"/>
        <v>Tuesday</v>
      </c>
      <c r="R407" s="4">
        <f t="shared" si="3"/>
        <v>0</v>
      </c>
      <c r="S407" s="2">
        <f t="shared" si="4"/>
        <v>0</v>
      </c>
      <c r="T407" s="4" t="str">
        <f t="shared" si="5"/>
        <v>Low</v>
      </c>
    </row>
    <row r="408">
      <c r="A408" s="1">
        <v>8.253242879E9</v>
      </c>
      <c r="B408" s="3">
        <v>42466.0</v>
      </c>
      <c r="C408" s="1">
        <v>1931.0</v>
      </c>
      <c r="D408" s="1">
        <v>1.27999997138977</v>
      </c>
      <c r="E408" s="1">
        <v>1.27999997138977</v>
      </c>
      <c r="F408" s="1">
        <v>0.0</v>
      </c>
      <c r="G408" s="1">
        <v>0.0</v>
      </c>
      <c r="H408" s="1">
        <v>0.0</v>
      </c>
      <c r="I408" s="1">
        <v>1.27999997138977</v>
      </c>
      <c r="J408" s="1">
        <v>0.0</v>
      </c>
      <c r="K408" s="1">
        <v>0.0</v>
      </c>
      <c r="L408" s="1">
        <v>0.0</v>
      </c>
      <c r="M408" s="1">
        <v>94.0</v>
      </c>
      <c r="N408" s="1">
        <v>1346.0</v>
      </c>
      <c r="O408" s="1">
        <v>1607.0</v>
      </c>
      <c r="P408" s="4">
        <f t="shared" si="1"/>
        <v>3</v>
      </c>
      <c r="Q408" s="4" t="str">
        <f t="shared" si="2"/>
        <v>Wednesday</v>
      </c>
      <c r="R408" s="4">
        <f t="shared" si="3"/>
        <v>2.559999943</v>
      </c>
      <c r="S408" s="2">
        <f t="shared" si="4"/>
        <v>0</v>
      </c>
      <c r="T408" s="4" t="str">
        <f t="shared" si="5"/>
        <v>Low</v>
      </c>
    </row>
    <row r="409">
      <c r="A409" s="1">
        <v>8.253242879E9</v>
      </c>
      <c r="B409" s="3">
        <v>42467.0</v>
      </c>
      <c r="C409" s="1">
        <v>5181.0</v>
      </c>
      <c r="D409" s="1">
        <v>3.42000007629395</v>
      </c>
      <c r="E409" s="1">
        <v>3.42000007629395</v>
      </c>
      <c r="F409" s="1">
        <v>0.0</v>
      </c>
      <c r="G409" s="1">
        <v>1.0</v>
      </c>
      <c r="H409" s="1">
        <v>0.910000026226044</v>
      </c>
      <c r="I409" s="1">
        <v>1.50999999046326</v>
      </c>
      <c r="J409" s="1">
        <v>0.00999999977648258</v>
      </c>
      <c r="K409" s="1">
        <v>15.0</v>
      </c>
      <c r="L409" s="1">
        <v>15.0</v>
      </c>
      <c r="M409" s="1">
        <v>107.0</v>
      </c>
      <c r="N409" s="1">
        <v>1303.0</v>
      </c>
      <c r="O409" s="1">
        <v>1776.0</v>
      </c>
      <c r="P409" s="4">
        <f t="shared" si="1"/>
        <v>4</v>
      </c>
      <c r="Q409" s="4" t="str">
        <f t="shared" si="2"/>
        <v>Thursday</v>
      </c>
      <c r="R409" s="4">
        <f t="shared" si="3"/>
        <v>6.840000153</v>
      </c>
      <c r="S409" s="2">
        <f t="shared" si="4"/>
        <v>0.02083333333</v>
      </c>
      <c r="T409" s="4" t="str">
        <f t="shared" si="5"/>
        <v>Moderate</v>
      </c>
    </row>
    <row r="410">
      <c r="A410" s="1">
        <v>8.253242879E9</v>
      </c>
      <c r="B410" s="3">
        <v>42468.0</v>
      </c>
      <c r="C410" s="1">
        <v>12026.0</v>
      </c>
      <c r="D410" s="1">
        <v>9.14999961853027</v>
      </c>
      <c r="E410" s="1">
        <v>9.14999961853027</v>
      </c>
      <c r="F410" s="1">
        <v>0.0</v>
      </c>
      <c r="G410" s="1">
        <v>5.69999980926514</v>
      </c>
      <c r="H410" s="1">
        <v>0.930000007152557</v>
      </c>
      <c r="I410" s="1">
        <v>2.50999999046326</v>
      </c>
      <c r="J410" s="1">
        <v>0.0</v>
      </c>
      <c r="K410" s="1">
        <v>47.0</v>
      </c>
      <c r="L410" s="1">
        <v>13.0</v>
      </c>
      <c r="M410" s="1">
        <v>150.0</v>
      </c>
      <c r="N410" s="1">
        <v>1230.0</v>
      </c>
      <c r="O410" s="1">
        <v>2162.0</v>
      </c>
      <c r="P410" s="4">
        <f t="shared" si="1"/>
        <v>5</v>
      </c>
      <c r="Q410" s="4" t="str">
        <f t="shared" si="2"/>
        <v>Friday</v>
      </c>
      <c r="R410" s="4">
        <f t="shared" si="3"/>
        <v>18.29999924</v>
      </c>
      <c r="S410" s="2">
        <f t="shared" si="4"/>
        <v>0.04166666667</v>
      </c>
      <c r="T410" s="4" t="str">
        <f t="shared" si="5"/>
        <v>High</v>
      </c>
    </row>
    <row r="411">
      <c r="A411" s="1">
        <v>8.253242879E9</v>
      </c>
      <c r="B411" s="3">
        <v>42469.0</v>
      </c>
      <c r="C411" s="1">
        <v>5360.0</v>
      </c>
      <c r="D411" s="1">
        <v>3.53999996185303</v>
      </c>
      <c r="E411" s="1">
        <v>3.53999996185303</v>
      </c>
      <c r="F411" s="1">
        <v>0.0</v>
      </c>
      <c r="G411" s="1">
        <v>0.540000021457672</v>
      </c>
      <c r="H411" s="1">
        <v>1.54999995231628</v>
      </c>
      <c r="I411" s="1">
        <v>1.46000003814697</v>
      </c>
      <c r="J411" s="1">
        <v>0.0</v>
      </c>
      <c r="K411" s="1">
        <v>8.0</v>
      </c>
      <c r="L411" s="1">
        <v>28.0</v>
      </c>
      <c r="M411" s="1">
        <v>148.0</v>
      </c>
      <c r="N411" s="1">
        <v>1256.0</v>
      </c>
      <c r="O411" s="1">
        <v>1832.0</v>
      </c>
      <c r="P411" s="4">
        <f t="shared" si="1"/>
        <v>6</v>
      </c>
      <c r="Q411" s="4" t="str">
        <f t="shared" si="2"/>
        <v>Saturday</v>
      </c>
      <c r="R411" s="4">
        <f t="shared" si="3"/>
        <v>7.079999924</v>
      </c>
      <c r="S411" s="2">
        <f t="shared" si="4"/>
        <v>0.025</v>
      </c>
      <c r="T411" s="4" t="str">
        <f t="shared" si="5"/>
        <v>Low</v>
      </c>
    </row>
    <row r="412">
      <c r="A412" s="1">
        <v>8.253242879E9</v>
      </c>
      <c r="B412" s="3">
        <v>42470.0</v>
      </c>
      <c r="C412" s="1">
        <v>2545.0</v>
      </c>
      <c r="D412" s="1">
        <v>1.67999994754791</v>
      </c>
      <c r="E412" s="1">
        <v>1.67999994754791</v>
      </c>
      <c r="F412" s="1">
        <v>0.0</v>
      </c>
      <c r="G412" s="1">
        <v>0.0</v>
      </c>
      <c r="H412" s="1">
        <v>0.0</v>
      </c>
      <c r="I412" s="1">
        <v>1.66999995708466</v>
      </c>
      <c r="J412" s="1">
        <v>0.0199999995529652</v>
      </c>
      <c r="K412" s="1">
        <v>0.0</v>
      </c>
      <c r="L412" s="1">
        <v>0.0</v>
      </c>
      <c r="M412" s="1">
        <v>126.0</v>
      </c>
      <c r="N412" s="1">
        <v>1314.0</v>
      </c>
      <c r="O412" s="1">
        <v>1657.0</v>
      </c>
      <c r="P412" s="4">
        <f t="shared" si="1"/>
        <v>7</v>
      </c>
      <c r="Q412" s="4" t="str">
        <f t="shared" si="2"/>
        <v>Sunday</v>
      </c>
      <c r="R412" s="4">
        <f t="shared" si="3"/>
        <v>3.359999895</v>
      </c>
      <c r="S412" s="2">
        <f t="shared" si="4"/>
        <v>0</v>
      </c>
      <c r="T412" s="4" t="str">
        <f t="shared" si="5"/>
        <v>Low</v>
      </c>
    </row>
    <row r="413">
      <c r="A413" s="1">
        <v>8.253242879E9</v>
      </c>
      <c r="B413" s="3">
        <v>42471.0</v>
      </c>
      <c r="C413" s="1">
        <v>1636.0</v>
      </c>
      <c r="D413" s="1">
        <v>1.08000004291534</v>
      </c>
      <c r="E413" s="1">
        <v>1.08000004291534</v>
      </c>
      <c r="F413" s="1">
        <v>0.0</v>
      </c>
      <c r="G413" s="1">
        <v>0.0</v>
      </c>
      <c r="H413" s="1">
        <v>0.0</v>
      </c>
      <c r="I413" s="1">
        <v>1.08000004291534</v>
      </c>
      <c r="J413" s="1">
        <v>0.0</v>
      </c>
      <c r="K413" s="1">
        <v>0.0</v>
      </c>
      <c r="L413" s="1">
        <v>0.0</v>
      </c>
      <c r="M413" s="1">
        <v>86.0</v>
      </c>
      <c r="N413" s="1">
        <v>1139.0</v>
      </c>
      <c r="O413" s="1">
        <v>1377.0</v>
      </c>
      <c r="P413" s="4">
        <f t="shared" si="1"/>
        <v>1</v>
      </c>
      <c r="Q413" s="4" t="str">
        <f t="shared" si="2"/>
        <v>Monday</v>
      </c>
      <c r="R413" s="4">
        <f t="shared" si="3"/>
        <v>2.160000086</v>
      </c>
      <c r="S413" s="2">
        <f t="shared" si="4"/>
        <v>0</v>
      </c>
      <c r="T413" s="4" t="str">
        <f t="shared" si="5"/>
        <v>Low</v>
      </c>
    </row>
    <row r="414">
      <c r="A414" s="1">
        <v>8.253242879E9</v>
      </c>
      <c r="B414" s="3">
        <v>42472.0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1440.0</v>
      </c>
      <c r="O414" s="1">
        <v>0.0</v>
      </c>
      <c r="P414" s="4">
        <f t="shared" si="1"/>
        <v>2</v>
      </c>
      <c r="Q414" s="4" t="str">
        <f t="shared" si="2"/>
        <v>Tuesday</v>
      </c>
      <c r="R414" s="4">
        <f t="shared" si="3"/>
        <v>0</v>
      </c>
      <c r="S414" s="2">
        <f t="shared" si="4"/>
        <v>0</v>
      </c>
      <c r="T414" s="4" t="str">
        <f t="shared" si="5"/>
        <v>Low</v>
      </c>
    </row>
    <row r="415">
      <c r="A415" s="1">
        <v>8.3785632E9</v>
      </c>
      <c r="B415" s="3">
        <v>42461.0</v>
      </c>
      <c r="C415" s="1">
        <v>14179.0</v>
      </c>
      <c r="D415" s="1">
        <v>11.2399997711182</v>
      </c>
      <c r="E415" s="1">
        <v>11.2399997711182</v>
      </c>
      <c r="F415" s="1">
        <v>0.0</v>
      </c>
      <c r="G415" s="1">
        <v>6.23000001907349</v>
      </c>
      <c r="H415" s="1">
        <v>1.05999994277954</v>
      </c>
      <c r="I415" s="1">
        <v>3.96000003814697</v>
      </c>
      <c r="J415" s="1">
        <v>0.0</v>
      </c>
      <c r="K415" s="1">
        <v>73.0</v>
      </c>
      <c r="L415" s="1">
        <v>21.0</v>
      </c>
      <c r="M415" s="1">
        <v>195.0</v>
      </c>
      <c r="N415" s="1">
        <v>719.0</v>
      </c>
      <c r="O415" s="1">
        <v>3669.0</v>
      </c>
      <c r="P415" s="4">
        <f t="shared" si="1"/>
        <v>5</v>
      </c>
      <c r="Q415" s="4" t="str">
        <f t="shared" si="2"/>
        <v>Friday</v>
      </c>
      <c r="R415" s="4">
        <f t="shared" si="3"/>
        <v>22.47999954</v>
      </c>
      <c r="S415" s="2">
        <f t="shared" si="4"/>
        <v>0.09325396825</v>
      </c>
      <c r="T415" s="4" t="str">
        <f t="shared" si="5"/>
        <v>High</v>
      </c>
    </row>
    <row r="416">
      <c r="A416" s="1">
        <v>8.3785632E9</v>
      </c>
      <c r="B416" s="3">
        <v>42462.0</v>
      </c>
      <c r="C416" s="1">
        <v>3358.0</v>
      </c>
      <c r="D416" s="1">
        <v>2.66000008583069</v>
      </c>
      <c r="E416" s="1">
        <v>2.66000008583069</v>
      </c>
      <c r="F416" s="1">
        <v>0.0</v>
      </c>
      <c r="G416" s="1">
        <v>0.0</v>
      </c>
      <c r="H416" s="1">
        <v>0.0</v>
      </c>
      <c r="I416" s="1">
        <v>2.66000008583069</v>
      </c>
      <c r="J416" s="1">
        <v>0.0</v>
      </c>
      <c r="K416" s="1">
        <v>0.0</v>
      </c>
      <c r="L416" s="1">
        <v>0.0</v>
      </c>
      <c r="M416" s="1">
        <v>144.0</v>
      </c>
      <c r="N416" s="1">
        <v>657.0</v>
      </c>
      <c r="O416" s="1">
        <v>2702.0</v>
      </c>
      <c r="P416" s="4">
        <f t="shared" si="1"/>
        <v>6</v>
      </c>
      <c r="Q416" s="4" t="str">
        <f t="shared" si="2"/>
        <v>Saturday</v>
      </c>
      <c r="R416" s="4">
        <f t="shared" si="3"/>
        <v>5.320000172</v>
      </c>
      <c r="S416" s="2">
        <f t="shared" si="4"/>
        <v>0</v>
      </c>
      <c r="T416" s="4" t="str">
        <f t="shared" si="5"/>
        <v>Low</v>
      </c>
    </row>
    <row r="417">
      <c r="A417" s="1">
        <v>8.3785632E9</v>
      </c>
      <c r="B417" s="3">
        <v>42463.0</v>
      </c>
      <c r="C417" s="1">
        <v>9152.0</v>
      </c>
      <c r="D417" s="1">
        <v>7.26000022888184</v>
      </c>
      <c r="E417" s="1">
        <v>7.26000022888184</v>
      </c>
      <c r="F417" s="1">
        <v>0.0</v>
      </c>
      <c r="G417" s="1">
        <v>1.99000000953674</v>
      </c>
      <c r="H417" s="1">
        <v>0.819999992847443</v>
      </c>
      <c r="I417" s="1">
        <v>4.44999980926514</v>
      </c>
      <c r="J417" s="1">
        <v>0.0</v>
      </c>
      <c r="K417" s="1">
        <v>25.0</v>
      </c>
      <c r="L417" s="1">
        <v>13.0</v>
      </c>
      <c r="M417" s="1">
        <v>243.0</v>
      </c>
      <c r="N417" s="1">
        <v>600.0</v>
      </c>
      <c r="O417" s="1">
        <v>3304.0</v>
      </c>
      <c r="P417" s="4">
        <f t="shared" si="1"/>
        <v>7</v>
      </c>
      <c r="Q417" s="4" t="str">
        <f t="shared" si="2"/>
        <v>Sunday</v>
      </c>
      <c r="R417" s="4">
        <f t="shared" si="3"/>
        <v>14.52000046</v>
      </c>
      <c r="S417" s="2">
        <f t="shared" si="4"/>
        <v>0.04313280363</v>
      </c>
      <c r="T417" s="4" t="str">
        <f t="shared" si="5"/>
        <v>Moderate</v>
      </c>
    </row>
    <row r="418">
      <c r="A418" s="1">
        <v>8.3785632E9</v>
      </c>
      <c r="B418" s="3">
        <v>42464.0</v>
      </c>
      <c r="C418" s="1">
        <v>13935.0</v>
      </c>
      <c r="D418" s="1">
        <v>11.0500001907349</v>
      </c>
      <c r="E418" s="1">
        <v>11.0500001907349</v>
      </c>
      <c r="F418" s="1">
        <v>2.0921471118927</v>
      </c>
      <c r="G418" s="1">
        <v>4.09000015258789</v>
      </c>
      <c r="H418" s="1">
        <v>0.790000021457672</v>
      </c>
      <c r="I418" s="1">
        <v>6.17000007629395</v>
      </c>
      <c r="J418" s="1">
        <v>0.0</v>
      </c>
      <c r="K418" s="1">
        <v>105.0</v>
      </c>
      <c r="L418" s="1">
        <v>16.0</v>
      </c>
      <c r="M418" s="1">
        <v>220.0</v>
      </c>
      <c r="N418" s="1">
        <v>658.0</v>
      </c>
      <c r="O418" s="1">
        <v>4234.0</v>
      </c>
      <c r="P418" s="4">
        <f t="shared" si="1"/>
        <v>1</v>
      </c>
      <c r="Q418" s="4" t="str">
        <f t="shared" si="2"/>
        <v>Monday</v>
      </c>
      <c r="R418" s="4">
        <f t="shared" si="3"/>
        <v>24.19214749</v>
      </c>
      <c r="S418" s="2">
        <f t="shared" si="4"/>
        <v>0.1211211211</v>
      </c>
      <c r="T418" s="4" t="str">
        <f t="shared" si="5"/>
        <v>High</v>
      </c>
    </row>
    <row r="419">
      <c r="A419" s="1">
        <v>8.3785632E9</v>
      </c>
      <c r="B419" s="3">
        <v>42465.0</v>
      </c>
      <c r="C419" s="1">
        <v>12846.0</v>
      </c>
      <c r="D419" s="1">
        <v>10.1899995803833</v>
      </c>
      <c r="E419" s="1">
        <v>10.1899995803833</v>
      </c>
      <c r="F419" s="1">
        <v>2.25308108329773</v>
      </c>
      <c r="G419" s="1">
        <v>5.0</v>
      </c>
      <c r="H419" s="1">
        <v>0.75</v>
      </c>
      <c r="I419" s="1">
        <v>4.44000005722046</v>
      </c>
      <c r="J419" s="1">
        <v>0.0</v>
      </c>
      <c r="K419" s="1">
        <v>113.0</v>
      </c>
      <c r="L419" s="1">
        <v>15.0</v>
      </c>
      <c r="M419" s="1">
        <v>189.0</v>
      </c>
      <c r="N419" s="1">
        <v>686.0</v>
      </c>
      <c r="O419" s="1">
        <v>4128.0</v>
      </c>
      <c r="P419" s="4">
        <f t="shared" si="1"/>
        <v>2</v>
      </c>
      <c r="Q419" s="4" t="str">
        <f t="shared" si="2"/>
        <v>Tuesday</v>
      </c>
      <c r="R419" s="4">
        <f t="shared" si="3"/>
        <v>22.63308024</v>
      </c>
      <c r="S419" s="2">
        <f t="shared" si="4"/>
        <v>0.1276171486</v>
      </c>
      <c r="T419" s="4" t="str">
        <f t="shared" si="5"/>
        <v>High</v>
      </c>
    </row>
    <row r="420">
      <c r="A420" s="1">
        <v>8.3785632E9</v>
      </c>
      <c r="B420" s="3">
        <v>42466.0</v>
      </c>
      <c r="C420" s="1">
        <v>9124.0</v>
      </c>
      <c r="D420" s="1">
        <v>7.23999977111816</v>
      </c>
      <c r="E420" s="1">
        <v>7.23999977111816</v>
      </c>
      <c r="F420" s="1">
        <v>2.0921471118927</v>
      </c>
      <c r="G420" s="1">
        <v>0.0</v>
      </c>
      <c r="H420" s="1">
        <v>0.25</v>
      </c>
      <c r="I420" s="1">
        <v>6.98999977111816</v>
      </c>
      <c r="J420" s="1">
        <v>0.0</v>
      </c>
      <c r="K420" s="1">
        <v>55.0</v>
      </c>
      <c r="L420" s="1">
        <v>6.0</v>
      </c>
      <c r="M420" s="1">
        <v>230.0</v>
      </c>
      <c r="N420" s="1">
        <v>728.0</v>
      </c>
      <c r="O420" s="1">
        <v>3798.0</v>
      </c>
      <c r="P420" s="4">
        <f t="shared" si="1"/>
        <v>3</v>
      </c>
      <c r="Q420" s="4" t="str">
        <f t="shared" si="2"/>
        <v>Wednesday</v>
      </c>
      <c r="R420" s="4">
        <f t="shared" si="3"/>
        <v>16.57214665</v>
      </c>
      <c r="S420" s="2">
        <f t="shared" si="4"/>
        <v>0.0598626104</v>
      </c>
      <c r="T420" s="4" t="str">
        <f t="shared" si="5"/>
        <v>High</v>
      </c>
    </row>
    <row r="421">
      <c r="A421" s="1">
        <v>8.3785632E9</v>
      </c>
      <c r="B421" s="3">
        <v>42467.0</v>
      </c>
      <c r="C421" s="1">
        <v>9725.0</v>
      </c>
      <c r="D421" s="1">
        <v>7.71000003814697</v>
      </c>
      <c r="E421" s="1">
        <v>7.71000003814697</v>
      </c>
      <c r="F421" s="1">
        <v>2.25308108329773</v>
      </c>
      <c r="G421" s="1">
        <v>2.41000008583069</v>
      </c>
      <c r="H421" s="1">
        <v>0.529999971389771</v>
      </c>
      <c r="I421" s="1">
        <v>4.76999998092651</v>
      </c>
      <c r="J421" s="1">
        <v>0.0</v>
      </c>
      <c r="K421" s="1">
        <v>83.0</v>
      </c>
      <c r="L421" s="1">
        <v>11.0</v>
      </c>
      <c r="M421" s="1">
        <v>181.0</v>
      </c>
      <c r="N421" s="1">
        <v>670.0</v>
      </c>
      <c r="O421" s="1">
        <v>3839.0</v>
      </c>
      <c r="P421" s="4">
        <f t="shared" si="1"/>
        <v>4</v>
      </c>
      <c r="Q421" s="4" t="str">
        <f t="shared" si="2"/>
        <v>Thursday</v>
      </c>
      <c r="R421" s="4">
        <f t="shared" si="3"/>
        <v>17.67308116</v>
      </c>
      <c r="S421" s="2">
        <f t="shared" si="4"/>
        <v>0.09947089947</v>
      </c>
      <c r="T421" s="4" t="str">
        <f t="shared" si="5"/>
        <v>High</v>
      </c>
    </row>
    <row r="422">
      <c r="A422" s="1">
        <v>8.3785632E9</v>
      </c>
      <c r="B422" s="3">
        <v>42468.0</v>
      </c>
      <c r="C422" s="1">
        <v>8350.0</v>
      </c>
      <c r="D422" s="1">
        <v>6.61999988555908</v>
      </c>
      <c r="E422" s="1">
        <v>6.61999988555908</v>
      </c>
      <c r="F422" s="1">
        <v>2.0921471118927</v>
      </c>
      <c r="G422" s="1">
        <v>1.49000000953674</v>
      </c>
      <c r="H422" s="1">
        <v>0.529999971389771</v>
      </c>
      <c r="I422" s="1">
        <v>4.6100001335144</v>
      </c>
      <c r="J422" s="1">
        <v>0.0</v>
      </c>
      <c r="K422" s="1">
        <v>72.0</v>
      </c>
      <c r="L422" s="1">
        <v>10.0</v>
      </c>
      <c r="M422" s="1">
        <v>167.0</v>
      </c>
      <c r="N422" s="1">
        <v>868.0</v>
      </c>
      <c r="O422" s="1">
        <v>3713.0</v>
      </c>
      <c r="P422" s="4">
        <f t="shared" si="1"/>
        <v>5</v>
      </c>
      <c r="Q422" s="4" t="str">
        <f t="shared" si="2"/>
        <v>Friday</v>
      </c>
      <c r="R422" s="4">
        <f t="shared" si="3"/>
        <v>15.33214688</v>
      </c>
      <c r="S422" s="2">
        <f t="shared" si="4"/>
        <v>0.07341092211</v>
      </c>
      <c r="T422" s="4" t="str">
        <f t="shared" si="5"/>
        <v>High</v>
      </c>
    </row>
    <row r="423">
      <c r="A423" s="1">
        <v>8.3785632E9</v>
      </c>
      <c r="B423" s="3">
        <v>42469.0</v>
      </c>
      <c r="C423" s="1">
        <v>2240.0</v>
      </c>
      <c r="D423" s="1">
        <v>1.77999997138977</v>
      </c>
      <c r="E423" s="1">
        <v>1.77999997138977</v>
      </c>
      <c r="F423" s="1">
        <v>0.0</v>
      </c>
      <c r="G423" s="1">
        <v>0.0</v>
      </c>
      <c r="H423" s="1">
        <v>0.0</v>
      </c>
      <c r="I423" s="1">
        <v>1.77999997138977</v>
      </c>
      <c r="J423" s="1">
        <v>0.0</v>
      </c>
      <c r="K423" s="1">
        <v>0.0</v>
      </c>
      <c r="L423" s="1">
        <v>0.0</v>
      </c>
      <c r="M423" s="1">
        <v>110.0</v>
      </c>
      <c r="N423" s="1">
        <v>843.0</v>
      </c>
      <c r="O423" s="1">
        <v>2606.0</v>
      </c>
      <c r="P423" s="4">
        <f t="shared" si="1"/>
        <v>6</v>
      </c>
      <c r="Q423" s="4" t="str">
        <f t="shared" si="2"/>
        <v>Saturday</v>
      </c>
      <c r="R423" s="4">
        <f t="shared" si="3"/>
        <v>3.559999943</v>
      </c>
      <c r="S423" s="2">
        <f t="shared" si="4"/>
        <v>0</v>
      </c>
      <c r="T423" s="4" t="str">
        <f t="shared" si="5"/>
        <v>Low</v>
      </c>
    </row>
    <row r="424">
      <c r="A424" s="1">
        <v>8.3785632E9</v>
      </c>
      <c r="B424" s="3">
        <v>42470.0</v>
      </c>
      <c r="C424" s="1">
        <v>2631.0</v>
      </c>
      <c r="D424" s="1">
        <v>2.08999991416931</v>
      </c>
      <c r="E424" s="1">
        <v>2.08999991416931</v>
      </c>
      <c r="F424" s="1">
        <v>0.0</v>
      </c>
      <c r="G424" s="1">
        <v>0.0</v>
      </c>
      <c r="H424" s="1">
        <v>0.0</v>
      </c>
      <c r="I424" s="1">
        <v>2.08999991416931</v>
      </c>
      <c r="J424" s="1">
        <v>0.0</v>
      </c>
      <c r="K424" s="1">
        <v>0.0</v>
      </c>
      <c r="L424" s="1">
        <v>0.0</v>
      </c>
      <c r="M424" s="1">
        <v>117.0</v>
      </c>
      <c r="N424" s="1">
        <v>727.0</v>
      </c>
      <c r="O424" s="1">
        <v>2624.0</v>
      </c>
      <c r="P424" s="4">
        <f t="shared" si="1"/>
        <v>7</v>
      </c>
      <c r="Q424" s="4" t="str">
        <f t="shared" si="2"/>
        <v>Sunday</v>
      </c>
      <c r="R424" s="4">
        <f t="shared" si="3"/>
        <v>4.179999828</v>
      </c>
      <c r="S424" s="2">
        <f t="shared" si="4"/>
        <v>0</v>
      </c>
      <c r="T424" s="4" t="str">
        <f t="shared" si="5"/>
        <v>Low</v>
      </c>
    </row>
    <row r="425">
      <c r="A425" s="1">
        <v>8.3785632E9</v>
      </c>
      <c r="B425" s="3">
        <v>42471.0</v>
      </c>
      <c r="C425" s="1">
        <v>8837.0</v>
      </c>
      <c r="D425" s="1">
        <v>7.01000022888184</v>
      </c>
      <c r="E425" s="1">
        <v>7.01000022888184</v>
      </c>
      <c r="F425" s="1">
        <v>2.0921471118927</v>
      </c>
      <c r="G425" s="1">
        <v>1.53999996185303</v>
      </c>
      <c r="H425" s="1">
        <v>0.879999995231628</v>
      </c>
      <c r="I425" s="1">
        <v>4.59000015258789</v>
      </c>
      <c r="J425" s="1">
        <v>0.0</v>
      </c>
      <c r="K425" s="1">
        <v>74.0</v>
      </c>
      <c r="L425" s="1">
        <v>17.0</v>
      </c>
      <c r="M425" s="1">
        <v>182.0</v>
      </c>
      <c r="N425" s="1">
        <v>811.0</v>
      </c>
      <c r="O425" s="1">
        <v>3775.0</v>
      </c>
      <c r="P425" s="4">
        <f t="shared" si="1"/>
        <v>1</v>
      </c>
      <c r="Q425" s="4" t="str">
        <f t="shared" si="2"/>
        <v>Monday</v>
      </c>
      <c r="R425" s="4">
        <f t="shared" si="3"/>
        <v>16.11214757</v>
      </c>
      <c r="S425" s="2">
        <f t="shared" si="4"/>
        <v>0.08394833948</v>
      </c>
      <c r="T425" s="4" t="str">
        <f t="shared" si="5"/>
        <v>High</v>
      </c>
    </row>
    <row r="426">
      <c r="A426" s="1">
        <v>8.3785632E9</v>
      </c>
      <c r="B426" s="3">
        <v>42472.0</v>
      </c>
      <c r="C426" s="1">
        <v>3246.0</v>
      </c>
      <c r="D426" s="1">
        <v>2.5699999332428</v>
      </c>
      <c r="E426" s="1">
        <v>2.5699999332428</v>
      </c>
      <c r="F426" s="1">
        <v>2.25308108329773</v>
      </c>
      <c r="G426" s="1">
        <v>0.829999983310699</v>
      </c>
      <c r="H426" s="1">
        <v>0.709999978542328</v>
      </c>
      <c r="I426" s="1">
        <v>1.02999997138977</v>
      </c>
      <c r="J426" s="1">
        <v>0.0</v>
      </c>
      <c r="K426" s="1">
        <v>65.0</v>
      </c>
      <c r="L426" s="1">
        <v>15.0</v>
      </c>
      <c r="M426" s="1">
        <v>49.0</v>
      </c>
      <c r="N426" s="1">
        <v>243.0</v>
      </c>
      <c r="O426" s="1">
        <v>1882.0</v>
      </c>
      <c r="P426" s="4">
        <f t="shared" si="1"/>
        <v>2</v>
      </c>
      <c r="Q426" s="4" t="str">
        <f t="shared" si="2"/>
        <v>Tuesday</v>
      </c>
      <c r="R426" s="4">
        <f t="shared" si="3"/>
        <v>7.39308095</v>
      </c>
      <c r="S426" s="2">
        <f t="shared" si="4"/>
        <v>0.2150537634</v>
      </c>
      <c r="T426" s="4" t="str">
        <f t="shared" si="5"/>
        <v>High</v>
      </c>
    </row>
    <row r="427">
      <c r="A427" s="1">
        <v>8.583815059E9</v>
      </c>
      <c r="B427" s="3">
        <v>42461.0</v>
      </c>
      <c r="C427" s="1">
        <v>2174.0</v>
      </c>
      <c r="D427" s="1">
        <v>1.70000004768372</v>
      </c>
      <c r="E427" s="1">
        <v>1.70000004768372</v>
      </c>
      <c r="F427" s="1">
        <v>0.0</v>
      </c>
      <c r="G427" s="1">
        <v>0.0</v>
      </c>
      <c r="H427" s="1">
        <v>0.0</v>
      </c>
      <c r="I427" s="1">
        <v>1.70000004768372</v>
      </c>
      <c r="J427" s="1">
        <v>0.0</v>
      </c>
      <c r="K427" s="1">
        <v>0.0</v>
      </c>
      <c r="L427" s="1">
        <v>0.0</v>
      </c>
      <c r="M427" s="1">
        <v>112.0</v>
      </c>
      <c r="N427" s="1">
        <v>1328.0</v>
      </c>
      <c r="O427" s="1">
        <v>2360.0</v>
      </c>
      <c r="P427" s="4">
        <f t="shared" si="1"/>
        <v>5</v>
      </c>
      <c r="Q427" s="4" t="str">
        <f t="shared" si="2"/>
        <v>Friday</v>
      </c>
      <c r="R427" s="4">
        <f t="shared" si="3"/>
        <v>3.400000095</v>
      </c>
      <c r="S427" s="2">
        <f t="shared" si="4"/>
        <v>0</v>
      </c>
      <c r="T427" s="4" t="str">
        <f t="shared" si="5"/>
        <v>Low</v>
      </c>
    </row>
    <row r="428">
      <c r="A428" s="1">
        <v>8.583815059E9</v>
      </c>
      <c r="B428" s="3">
        <v>42462.0</v>
      </c>
      <c r="C428" s="1">
        <v>3494.0</v>
      </c>
      <c r="D428" s="1">
        <v>2.73000001907349</v>
      </c>
      <c r="E428" s="1">
        <v>2.73000001907349</v>
      </c>
      <c r="F428" s="1">
        <v>0.0</v>
      </c>
      <c r="G428" s="1">
        <v>0.0</v>
      </c>
      <c r="H428" s="1">
        <v>0.0</v>
      </c>
      <c r="I428" s="1">
        <v>2.69000005722046</v>
      </c>
      <c r="J428" s="1">
        <v>0.0</v>
      </c>
      <c r="K428" s="1">
        <v>0.0</v>
      </c>
      <c r="L428" s="1">
        <v>0.0</v>
      </c>
      <c r="M428" s="1">
        <v>166.0</v>
      </c>
      <c r="N428" s="1">
        <v>1274.0</v>
      </c>
      <c r="O428" s="1">
        <v>2517.0</v>
      </c>
      <c r="P428" s="4">
        <f t="shared" si="1"/>
        <v>6</v>
      </c>
      <c r="Q428" s="4" t="str">
        <f t="shared" si="2"/>
        <v>Saturday</v>
      </c>
      <c r="R428" s="4">
        <f t="shared" si="3"/>
        <v>5.460000038</v>
      </c>
      <c r="S428" s="2">
        <f t="shared" si="4"/>
        <v>0</v>
      </c>
      <c r="T428" s="4" t="str">
        <f t="shared" si="5"/>
        <v>Low</v>
      </c>
    </row>
    <row r="429">
      <c r="A429" s="1">
        <v>8.583815059E9</v>
      </c>
      <c r="B429" s="3">
        <v>42463.0</v>
      </c>
      <c r="C429" s="1">
        <v>2380.0</v>
      </c>
      <c r="D429" s="1">
        <v>1.86000001430511</v>
      </c>
      <c r="E429" s="1">
        <v>1.86000001430511</v>
      </c>
      <c r="F429" s="1">
        <v>0.0</v>
      </c>
      <c r="G429" s="1">
        <v>0.0</v>
      </c>
      <c r="H429" s="1">
        <v>0.0</v>
      </c>
      <c r="I429" s="1">
        <v>1.86000001430511</v>
      </c>
      <c r="J429" s="1">
        <v>0.0</v>
      </c>
      <c r="K429" s="1">
        <v>0.0</v>
      </c>
      <c r="L429" s="1">
        <v>0.0</v>
      </c>
      <c r="M429" s="1">
        <v>131.0</v>
      </c>
      <c r="N429" s="1">
        <v>1309.0</v>
      </c>
      <c r="O429" s="1">
        <v>2400.0</v>
      </c>
      <c r="P429" s="4">
        <f t="shared" si="1"/>
        <v>7</v>
      </c>
      <c r="Q429" s="4" t="str">
        <f t="shared" si="2"/>
        <v>Sunday</v>
      </c>
      <c r="R429" s="4">
        <f t="shared" si="3"/>
        <v>3.720000029</v>
      </c>
      <c r="S429" s="2">
        <f t="shared" si="4"/>
        <v>0</v>
      </c>
      <c r="T429" s="4" t="str">
        <f t="shared" si="5"/>
        <v>Low</v>
      </c>
    </row>
    <row r="430">
      <c r="A430" s="1">
        <v>8.583815059E9</v>
      </c>
      <c r="B430" s="3">
        <v>42464.0</v>
      </c>
      <c r="C430" s="1">
        <v>3159.0</v>
      </c>
      <c r="D430" s="1">
        <v>2.46000003814697</v>
      </c>
      <c r="E430" s="1">
        <v>2.46000003814697</v>
      </c>
      <c r="F430" s="1">
        <v>0.0</v>
      </c>
      <c r="G430" s="1">
        <v>0.0</v>
      </c>
      <c r="H430" s="1">
        <v>0.0</v>
      </c>
      <c r="I430" s="1">
        <v>2.46000003814697</v>
      </c>
      <c r="J430" s="1">
        <v>0.0</v>
      </c>
      <c r="K430" s="1">
        <v>0.0</v>
      </c>
      <c r="L430" s="1">
        <v>0.0</v>
      </c>
      <c r="M430" s="1">
        <v>147.0</v>
      </c>
      <c r="N430" s="1">
        <v>1293.0</v>
      </c>
      <c r="O430" s="1">
        <v>2462.0</v>
      </c>
      <c r="P430" s="4">
        <f t="shared" si="1"/>
        <v>1</v>
      </c>
      <c r="Q430" s="4" t="str">
        <f t="shared" si="2"/>
        <v>Monday</v>
      </c>
      <c r="R430" s="4">
        <f t="shared" si="3"/>
        <v>4.920000076</v>
      </c>
      <c r="S430" s="2">
        <f t="shared" si="4"/>
        <v>0</v>
      </c>
      <c r="T430" s="4" t="str">
        <f t="shared" si="5"/>
        <v>Low</v>
      </c>
    </row>
    <row r="431">
      <c r="A431" s="1">
        <v>8.583815059E9</v>
      </c>
      <c r="B431" s="3">
        <v>42465.0</v>
      </c>
      <c r="C431" s="1">
        <v>6835.0</v>
      </c>
      <c r="D431" s="1">
        <v>5.32999992370605</v>
      </c>
      <c r="E431" s="1">
        <v>5.32999992370605</v>
      </c>
      <c r="F431" s="1">
        <v>0.0</v>
      </c>
      <c r="G431" s="1">
        <v>0.370000004768372</v>
      </c>
      <c r="H431" s="1">
        <v>0.730000019073486</v>
      </c>
      <c r="I431" s="1">
        <v>4.23999977111816</v>
      </c>
      <c r="J431" s="1">
        <v>0.0</v>
      </c>
      <c r="K431" s="1">
        <v>5.0</v>
      </c>
      <c r="L431" s="1">
        <v>15.0</v>
      </c>
      <c r="M431" s="1">
        <v>212.0</v>
      </c>
      <c r="N431" s="1">
        <v>1208.0</v>
      </c>
      <c r="O431" s="1">
        <v>2786.0</v>
      </c>
      <c r="P431" s="4">
        <f t="shared" si="1"/>
        <v>2</v>
      </c>
      <c r="Q431" s="4" t="str">
        <f t="shared" si="2"/>
        <v>Tuesday</v>
      </c>
      <c r="R431" s="4">
        <f t="shared" si="3"/>
        <v>10.65999985</v>
      </c>
      <c r="S431" s="2">
        <f t="shared" si="4"/>
        <v>0.01388888889</v>
      </c>
      <c r="T431" s="4" t="str">
        <f t="shared" si="5"/>
        <v>Low</v>
      </c>
    </row>
    <row r="432">
      <c r="A432" s="1">
        <v>8.583815059E9</v>
      </c>
      <c r="B432" s="3">
        <v>42466.0</v>
      </c>
      <c r="C432" s="1">
        <v>2098.0</v>
      </c>
      <c r="D432" s="1">
        <v>1.63999998569489</v>
      </c>
      <c r="E432" s="1">
        <v>1.63999998569489</v>
      </c>
      <c r="F432" s="1">
        <v>0.0</v>
      </c>
      <c r="G432" s="1">
        <v>0.0</v>
      </c>
      <c r="H432" s="1">
        <v>0.0</v>
      </c>
      <c r="I432" s="1">
        <v>1.62999999523163</v>
      </c>
      <c r="J432" s="1">
        <v>0.0</v>
      </c>
      <c r="K432" s="1">
        <v>0.0</v>
      </c>
      <c r="L432" s="1">
        <v>0.0</v>
      </c>
      <c r="M432" s="1">
        <v>112.0</v>
      </c>
      <c r="N432" s="1">
        <v>1328.0</v>
      </c>
      <c r="O432" s="1">
        <v>2354.0</v>
      </c>
      <c r="P432" s="4">
        <f t="shared" si="1"/>
        <v>3</v>
      </c>
      <c r="Q432" s="4" t="str">
        <f t="shared" si="2"/>
        <v>Wednesday</v>
      </c>
      <c r="R432" s="4">
        <f t="shared" si="3"/>
        <v>3.279999971</v>
      </c>
      <c r="S432" s="2">
        <f t="shared" si="4"/>
        <v>0</v>
      </c>
      <c r="T432" s="4" t="str">
        <f t="shared" si="5"/>
        <v>Low</v>
      </c>
    </row>
    <row r="433">
      <c r="A433" s="1">
        <v>8.583815059E9</v>
      </c>
      <c r="B433" s="3">
        <v>42467.0</v>
      </c>
      <c r="C433" s="1">
        <v>2816.0</v>
      </c>
      <c r="D433" s="1">
        <v>2.20000004768372</v>
      </c>
      <c r="E433" s="1">
        <v>2.20000004768372</v>
      </c>
      <c r="F433" s="1">
        <v>0.0</v>
      </c>
      <c r="G433" s="1">
        <v>0.0</v>
      </c>
      <c r="H433" s="1">
        <v>0.0</v>
      </c>
      <c r="I433" s="1">
        <v>2.20000004768372</v>
      </c>
      <c r="J433" s="1">
        <v>0.0</v>
      </c>
      <c r="K433" s="1">
        <v>0.0</v>
      </c>
      <c r="L433" s="1">
        <v>0.0</v>
      </c>
      <c r="M433" s="1">
        <v>138.0</v>
      </c>
      <c r="N433" s="1">
        <v>1302.0</v>
      </c>
      <c r="O433" s="1">
        <v>2437.0</v>
      </c>
      <c r="P433" s="4">
        <f t="shared" si="1"/>
        <v>4</v>
      </c>
      <c r="Q433" s="4" t="str">
        <f t="shared" si="2"/>
        <v>Thursday</v>
      </c>
      <c r="R433" s="4">
        <f t="shared" si="3"/>
        <v>4.400000095</v>
      </c>
      <c r="S433" s="2">
        <f t="shared" si="4"/>
        <v>0</v>
      </c>
      <c r="T433" s="4" t="str">
        <f t="shared" si="5"/>
        <v>Low</v>
      </c>
    </row>
    <row r="434">
      <c r="A434" s="1">
        <v>8.583815059E9</v>
      </c>
      <c r="B434" s="3">
        <v>42468.0</v>
      </c>
      <c r="C434" s="1">
        <v>1408.0</v>
      </c>
      <c r="D434" s="1">
        <v>1.10000002384186</v>
      </c>
      <c r="E434" s="1">
        <v>1.10000002384186</v>
      </c>
      <c r="F434" s="1">
        <v>0.0</v>
      </c>
      <c r="G434" s="1">
        <v>0.0</v>
      </c>
      <c r="H434" s="1">
        <v>0.0</v>
      </c>
      <c r="I434" s="1">
        <v>1.10000002384186</v>
      </c>
      <c r="J434" s="1">
        <v>0.0</v>
      </c>
      <c r="K434" s="1">
        <v>0.0</v>
      </c>
      <c r="L434" s="1">
        <v>0.0</v>
      </c>
      <c r="M434" s="1">
        <v>79.0</v>
      </c>
      <c r="N434" s="1">
        <v>1052.0</v>
      </c>
      <c r="O434" s="1">
        <v>1814.0</v>
      </c>
      <c r="P434" s="4">
        <f t="shared" si="1"/>
        <v>5</v>
      </c>
      <c r="Q434" s="4" t="str">
        <f t="shared" si="2"/>
        <v>Friday</v>
      </c>
      <c r="R434" s="4">
        <f t="shared" si="3"/>
        <v>2.200000048</v>
      </c>
      <c r="S434" s="2">
        <f t="shared" si="4"/>
        <v>0</v>
      </c>
      <c r="T434" s="4" t="str">
        <f t="shared" si="5"/>
        <v>Low</v>
      </c>
    </row>
    <row r="435">
      <c r="A435" s="1">
        <v>8.792009665E9</v>
      </c>
      <c r="B435" s="3">
        <v>42461.0</v>
      </c>
      <c r="C435" s="1">
        <v>4592.0</v>
      </c>
      <c r="D435" s="1">
        <v>2.94000005722046</v>
      </c>
      <c r="E435" s="1">
        <v>2.94000005722046</v>
      </c>
      <c r="F435" s="1">
        <v>0.0</v>
      </c>
      <c r="G435" s="1">
        <v>0.100000001490116</v>
      </c>
      <c r="H435" s="1">
        <v>0.140000000596046</v>
      </c>
      <c r="I435" s="1">
        <v>2.70000004768372</v>
      </c>
      <c r="J435" s="1">
        <v>0.0</v>
      </c>
      <c r="K435" s="1">
        <v>4.0</v>
      </c>
      <c r="L435" s="1">
        <v>8.0</v>
      </c>
      <c r="M435" s="1">
        <v>176.0</v>
      </c>
      <c r="N435" s="1">
        <v>748.0</v>
      </c>
      <c r="O435" s="1">
        <v>2260.0</v>
      </c>
      <c r="P435" s="4">
        <f t="shared" si="1"/>
        <v>5</v>
      </c>
      <c r="Q435" s="4" t="str">
        <f t="shared" si="2"/>
        <v>Friday</v>
      </c>
      <c r="R435" s="4">
        <f t="shared" si="3"/>
        <v>5.880000114</v>
      </c>
      <c r="S435" s="2">
        <f t="shared" si="4"/>
        <v>0.01282051282</v>
      </c>
      <c r="T435" s="4" t="str">
        <f t="shared" si="5"/>
        <v>Low</v>
      </c>
    </row>
    <row r="436">
      <c r="A436" s="1">
        <v>8.792009665E9</v>
      </c>
      <c r="B436" s="3">
        <v>42462.0</v>
      </c>
      <c r="C436" s="1">
        <v>8452.0</v>
      </c>
      <c r="D436" s="1">
        <v>5.40999984741211</v>
      </c>
      <c r="E436" s="1">
        <v>5.40999984741211</v>
      </c>
      <c r="F436" s="1">
        <v>0.0</v>
      </c>
      <c r="G436" s="1">
        <v>0.259999990463257</v>
      </c>
      <c r="H436" s="1">
        <v>0.389999985694885</v>
      </c>
      <c r="I436" s="1">
        <v>4.76000022888184</v>
      </c>
      <c r="J436" s="1">
        <v>0.0</v>
      </c>
      <c r="K436" s="1">
        <v>9.0</v>
      </c>
      <c r="L436" s="1">
        <v>24.0</v>
      </c>
      <c r="M436" s="1">
        <v>328.0</v>
      </c>
      <c r="N436" s="1">
        <v>1079.0</v>
      </c>
      <c r="O436" s="1">
        <v>3004.0</v>
      </c>
      <c r="P436" s="4">
        <f t="shared" si="1"/>
        <v>6</v>
      </c>
      <c r="Q436" s="4" t="str">
        <f t="shared" si="2"/>
        <v>Saturday</v>
      </c>
      <c r="R436" s="4">
        <f t="shared" si="3"/>
        <v>10.81999969</v>
      </c>
      <c r="S436" s="2">
        <f t="shared" si="4"/>
        <v>0.02291666667</v>
      </c>
      <c r="T436" s="4" t="str">
        <f t="shared" si="5"/>
        <v>Low</v>
      </c>
    </row>
    <row r="437">
      <c r="A437" s="1">
        <v>8.792009665E9</v>
      </c>
      <c r="B437" s="3">
        <v>42463.0</v>
      </c>
      <c r="C437" s="1">
        <v>7238.0</v>
      </c>
      <c r="D437" s="1">
        <v>4.63000011444092</v>
      </c>
      <c r="E437" s="1">
        <v>4.63000011444092</v>
      </c>
      <c r="F437" s="1">
        <v>0.0</v>
      </c>
      <c r="G437" s="1">
        <v>0.109999999403954</v>
      </c>
      <c r="H437" s="1">
        <v>0.230000004172325</v>
      </c>
      <c r="I437" s="1">
        <v>4.28999996185303</v>
      </c>
      <c r="J437" s="1">
        <v>0.0</v>
      </c>
      <c r="K437" s="1">
        <v>2.0</v>
      </c>
      <c r="L437" s="1">
        <v>6.0</v>
      </c>
      <c r="M437" s="1">
        <v>279.0</v>
      </c>
      <c r="N437" s="1">
        <v>636.0</v>
      </c>
      <c r="O437" s="1">
        <v>2667.0</v>
      </c>
      <c r="P437" s="4">
        <f t="shared" si="1"/>
        <v>7</v>
      </c>
      <c r="Q437" s="4" t="str">
        <f t="shared" si="2"/>
        <v>Sunday</v>
      </c>
      <c r="R437" s="4">
        <f t="shared" si="3"/>
        <v>9.260000229</v>
      </c>
      <c r="S437" s="2">
        <f t="shared" si="4"/>
        <v>0.008667388949</v>
      </c>
      <c r="T437" s="4" t="str">
        <f t="shared" si="5"/>
        <v>Low</v>
      </c>
    </row>
    <row r="438">
      <c r="A438" s="1">
        <v>8.792009665E9</v>
      </c>
      <c r="B438" s="3">
        <v>42464.0</v>
      </c>
      <c r="C438" s="1">
        <v>3821.0</v>
      </c>
      <c r="D438" s="1">
        <v>2.45000004768372</v>
      </c>
      <c r="E438" s="1">
        <v>2.45000004768372</v>
      </c>
      <c r="F438" s="1">
        <v>0.0</v>
      </c>
      <c r="G438" s="1">
        <v>0.0</v>
      </c>
      <c r="H438" s="1">
        <v>0.219999998807907</v>
      </c>
      <c r="I438" s="1">
        <v>2.23000001907349</v>
      </c>
      <c r="J438" s="1">
        <v>0.0</v>
      </c>
      <c r="K438" s="1">
        <v>0.0</v>
      </c>
      <c r="L438" s="1">
        <v>9.0</v>
      </c>
      <c r="M438" s="1">
        <v>161.0</v>
      </c>
      <c r="N438" s="1">
        <v>675.0</v>
      </c>
      <c r="O438" s="1">
        <v>2229.0</v>
      </c>
      <c r="P438" s="4">
        <f t="shared" si="1"/>
        <v>1</v>
      </c>
      <c r="Q438" s="4" t="str">
        <f t="shared" si="2"/>
        <v>Monday</v>
      </c>
      <c r="R438" s="4">
        <f t="shared" si="3"/>
        <v>4.900000095</v>
      </c>
      <c r="S438" s="2">
        <f t="shared" si="4"/>
        <v>0.01065088757</v>
      </c>
      <c r="T438" s="4" t="str">
        <f t="shared" si="5"/>
        <v>Low</v>
      </c>
    </row>
    <row r="439">
      <c r="A439" s="1">
        <v>8.792009665E9</v>
      </c>
      <c r="B439" s="3">
        <v>42465.0</v>
      </c>
      <c r="C439" s="1">
        <v>2332.0</v>
      </c>
      <c r="D439" s="1">
        <v>1.49000000953674</v>
      </c>
      <c r="E439" s="1">
        <v>1.49000000953674</v>
      </c>
      <c r="F439" s="1">
        <v>0.0</v>
      </c>
      <c r="G439" s="1">
        <v>0.00999999977648258</v>
      </c>
      <c r="H439" s="1">
        <v>0.180000007152557</v>
      </c>
      <c r="I439" s="1">
        <v>1.29999995231628</v>
      </c>
      <c r="J439" s="1">
        <v>0.0</v>
      </c>
      <c r="K439" s="1">
        <v>1.0</v>
      </c>
      <c r="L439" s="1">
        <v>10.0</v>
      </c>
      <c r="M439" s="1">
        <v>111.0</v>
      </c>
      <c r="N439" s="1">
        <v>904.0</v>
      </c>
      <c r="O439" s="1">
        <v>2100.0</v>
      </c>
      <c r="P439" s="4">
        <f t="shared" si="1"/>
        <v>2</v>
      </c>
      <c r="Q439" s="4" t="str">
        <f t="shared" si="2"/>
        <v>Tuesday</v>
      </c>
      <c r="R439" s="4">
        <f t="shared" si="3"/>
        <v>2.980000019</v>
      </c>
      <c r="S439" s="2">
        <f t="shared" si="4"/>
        <v>0.01072124756</v>
      </c>
      <c r="T439" s="4" t="str">
        <f t="shared" si="5"/>
        <v>Low</v>
      </c>
    </row>
    <row r="440">
      <c r="A440" s="1">
        <v>8.792009665E9</v>
      </c>
      <c r="B440" s="3">
        <v>42466.0</v>
      </c>
      <c r="C440" s="1">
        <v>2121.0</v>
      </c>
      <c r="D440" s="1">
        <v>1.36000001430511</v>
      </c>
      <c r="E440" s="1">
        <v>1.36000001430511</v>
      </c>
      <c r="F440" s="1">
        <v>0.0</v>
      </c>
      <c r="G440" s="1">
        <v>0.0</v>
      </c>
      <c r="H440" s="1">
        <v>0.0</v>
      </c>
      <c r="I440" s="1">
        <v>1.36000001430511</v>
      </c>
      <c r="J440" s="1">
        <v>0.0</v>
      </c>
      <c r="K440" s="1">
        <v>0.0</v>
      </c>
      <c r="L440" s="1">
        <v>0.0</v>
      </c>
      <c r="M440" s="1">
        <v>122.0</v>
      </c>
      <c r="N440" s="1">
        <v>855.0</v>
      </c>
      <c r="O440" s="1">
        <v>2114.0</v>
      </c>
      <c r="P440" s="4">
        <f t="shared" si="1"/>
        <v>3</v>
      </c>
      <c r="Q440" s="4" t="str">
        <f t="shared" si="2"/>
        <v>Wednesday</v>
      </c>
      <c r="R440" s="4">
        <f t="shared" si="3"/>
        <v>2.720000029</v>
      </c>
      <c r="S440" s="2">
        <f t="shared" si="4"/>
        <v>0</v>
      </c>
      <c r="T440" s="4" t="str">
        <f t="shared" si="5"/>
        <v>Low</v>
      </c>
    </row>
    <row r="441">
      <c r="A441" s="1">
        <v>8.792009665E9</v>
      </c>
      <c r="B441" s="3">
        <v>42467.0</v>
      </c>
      <c r="C441" s="1">
        <v>1291.0</v>
      </c>
      <c r="D441" s="1">
        <v>0.829999983310699</v>
      </c>
      <c r="E441" s="1">
        <v>0.829999983310699</v>
      </c>
      <c r="F441" s="1">
        <v>0.0</v>
      </c>
      <c r="G441" s="1">
        <v>0.0</v>
      </c>
      <c r="H441" s="1">
        <v>0.0</v>
      </c>
      <c r="I441" s="1">
        <v>0.829999983310699</v>
      </c>
      <c r="J441" s="1">
        <v>0.0</v>
      </c>
      <c r="K441" s="1">
        <v>0.0</v>
      </c>
      <c r="L441" s="1">
        <v>0.0</v>
      </c>
      <c r="M441" s="1">
        <v>77.0</v>
      </c>
      <c r="N441" s="1">
        <v>888.0</v>
      </c>
      <c r="O441" s="1">
        <v>1961.0</v>
      </c>
      <c r="P441" s="4">
        <f t="shared" si="1"/>
        <v>4</v>
      </c>
      <c r="Q441" s="4" t="str">
        <f t="shared" si="2"/>
        <v>Thursday</v>
      </c>
      <c r="R441" s="4">
        <f t="shared" si="3"/>
        <v>1.659999967</v>
      </c>
      <c r="S441" s="2">
        <f t="shared" si="4"/>
        <v>0</v>
      </c>
      <c r="T441" s="4" t="str">
        <f t="shared" si="5"/>
        <v>Low</v>
      </c>
    </row>
    <row r="442">
      <c r="A442" s="1">
        <v>8.792009665E9</v>
      </c>
      <c r="B442" s="3">
        <v>42468.0</v>
      </c>
      <c r="C442" s="1">
        <v>1467.0</v>
      </c>
      <c r="D442" s="1">
        <v>0.939999997615814</v>
      </c>
      <c r="E442" s="1">
        <v>0.939999997615814</v>
      </c>
      <c r="F442" s="1">
        <v>0.0</v>
      </c>
      <c r="G442" s="1">
        <v>0.100000001490116</v>
      </c>
      <c r="H442" s="1">
        <v>0.209999993443489</v>
      </c>
      <c r="I442" s="1">
        <v>0.629999995231628</v>
      </c>
      <c r="J442" s="1">
        <v>0.0</v>
      </c>
      <c r="K442" s="1">
        <v>2.0</v>
      </c>
      <c r="L442" s="1">
        <v>8.0</v>
      </c>
      <c r="M442" s="1">
        <v>71.0</v>
      </c>
      <c r="N442" s="1">
        <v>912.0</v>
      </c>
      <c r="O442" s="1">
        <v>1953.0</v>
      </c>
      <c r="P442" s="4">
        <f t="shared" si="1"/>
        <v>5</v>
      </c>
      <c r="Q442" s="4" t="str">
        <f t="shared" si="2"/>
        <v>Friday</v>
      </c>
      <c r="R442" s="4">
        <f t="shared" si="3"/>
        <v>1.879999995</v>
      </c>
      <c r="S442" s="2">
        <f t="shared" si="4"/>
        <v>0.01007049345</v>
      </c>
      <c r="T442" s="4" t="str">
        <f t="shared" si="5"/>
        <v>Low</v>
      </c>
    </row>
    <row r="443">
      <c r="A443" s="1">
        <v>8.792009665E9</v>
      </c>
      <c r="B443" s="3">
        <v>42469.0</v>
      </c>
      <c r="C443" s="1">
        <v>1022.0</v>
      </c>
      <c r="D443" s="1">
        <v>0.649999976158142</v>
      </c>
      <c r="E443" s="1">
        <v>0.649999976158142</v>
      </c>
      <c r="F443" s="1">
        <v>0.0</v>
      </c>
      <c r="G443" s="1">
        <v>0.0</v>
      </c>
      <c r="H443" s="1">
        <v>0.0</v>
      </c>
      <c r="I443" s="1">
        <v>0.649999976158142</v>
      </c>
      <c r="J443" s="1">
        <v>0.0</v>
      </c>
      <c r="K443" s="1">
        <v>0.0</v>
      </c>
      <c r="L443" s="1">
        <v>0.0</v>
      </c>
      <c r="M443" s="1">
        <v>63.0</v>
      </c>
      <c r="N443" s="1">
        <v>739.0</v>
      </c>
      <c r="O443" s="1">
        <v>1890.0</v>
      </c>
      <c r="P443" s="4">
        <f t="shared" si="1"/>
        <v>6</v>
      </c>
      <c r="Q443" s="4" t="str">
        <f t="shared" si="2"/>
        <v>Saturday</v>
      </c>
      <c r="R443" s="4">
        <f t="shared" si="3"/>
        <v>1.299999952</v>
      </c>
      <c r="S443" s="2">
        <f t="shared" si="4"/>
        <v>0</v>
      </c>
      <c r="T443" s="4" t="str">
        <f t="shared" si="5"/>
        <v>Low</v>
      </c>
    </row>
    <row r="444">
      <c r="A444" s="1">
        <v>8.792009665E9</v>
      </c>
      <c r="B444" s="3">
        <v>42470.0</v>
      </c>
      <c r="C444" s="1">
        <v>4605.0</v>
      </c>
      <c r="D444" s="1">
        <v>2.95000004768372</v>
      </c>
      <c r="E444" s="1">
        <v>2.95000004768372</v>
      </c>
      <c r="F444" s="1">
        <v>0.0</v>
      </c>
      <c r="G444" s="1">
        <v>0.0</v>
      </c>
      <c r="H444" s="1">
        <v>0.0</v>
      </c>
      <c r="I444" s="1">
        <v>2.95000004768372</v>
      </c>
      <c r="J444" s="1">
        <v>0.0</v>
      </c>
      <c r="K444" s="1">
        <v>0.0</v>
      </c>
      <c r="L444" s="1">
        <v>0.0</v>
      </c>
      <c r="M444" s="1">
        <v>179.0</v>
      </c>
      <c r="N444" s="1">
        <v>1261.0</v>
      </c>
      <c r="O444" s="1">
        <v>2253.0</v>
      </c>
      <c r="P444" s="4">
        <f t="shared" si="1"/>
        <v>7</v>
      </c>
      <c r="Q444" s="4" t="str">
        <f t="shared" si="2"/>
        <v>Sunday</v>
      </c>
      <c r="R444" s="4">
        <f t="shared" si="3"/>
        <v>5.900000095</v>
      </c>
      <c r="S444" s="2">
        <f t="shared" si="4"/>
        <v>0</v>
      </c>
      <c r="T444" s="4" t="str">
        <f t="shared" si="5"/>
        <v>Low</v>
      </c>
    </row>
    <row r="445">
      <c r="A445" s="1">
        <v>8.792009665E9</v>
      </c>
      <c r="B445" s="3">
        <v>42471.0</v>
      </c>
      <c r="C445" s="1">
        <v>178.0</v>
      </c>
      <c r="D445" s="1">
        <v>0.109999999403954</v>
      </c>
      <c r="E445" s="1">
        <v>0.109999999403954</v>
      </c>
      <c r="F445" s="1">
        <v>0.0</v>
      </c>
      <c r="G445" s="1">
        <v>0.0</v>
      </c>
      <c r="H445" s="1">
        <v>0.0</v>
      </c>
      <c r="I445" s="1">
        <v>0.109999999403954</v>
      </c>
      <c r="J445" s="1">
        <v>0.0</v>
      </c>
      <c r="K445" s="1">
        <v>0.0</v>
      </c>
      <c r="L445" s="1">
        <v>0.0</v>
      </c>
      <c r="M445" s="1">
        <v>12.0</v>
      </c>
      <c r="N445" s="1">
        <v>1428.0</v>
      </c>
      <c r="O445" s="1">
        <v>1725.0</v>
      </c>
      <c r="P445" s="4">
        <f t="shared" si="1"/>
        <v>1</v>
      </c>
      <c r="Q445" s="4" t="str">
        <f t="shared" si="2"/>
        <v>Monday</v>
      </c>
      <c r="R445" s="4">
        <f t="shared" si="3"/>
        <v>0.2199999988</v>
      </c>
      <c r="S445" s="2">
        <f t="shared" si="4"/>
        <v>0</v>
      </c>
      <c r="T445" s="4" t="str">
        <f t="shared" si="5"/>
        <v>Low</v>
      </c>
    </row>
    <row r="446">
      <c r="A446" s="1">
        <v>8.792009665E9</v>
      </c>
      <c r="B446" s="3">
        <v>42472.0</v>
      </c>
      <c r="C446" s="1">
        <v>20.0</v>
      </c>
      <c r="D446" s="1">
        <v>0.00999999977648258</v>
      </c>
      <c r="E446" s="1">
        <v>0.00999999977648258</v>
      </c>
      <c r="F446" s="1">
        <v>0.0</v>
      </c>
      <c r="G446" s="1">
        <v>0.0</v>
      </c>
      <c r="H446" s="1">
        <v>0.0</v>
      </c>
      <c r="I446" s="1">
        <v>0.00999999977648258</v>
      </c>
      <c r="J446" s="1">
        <v>0.0</v>
      </c>
      <c r="K446" s="1">
        <v>0.0</v>
      </c>
      <c r="L446" s="1">
        <v>0.0</v>
      </c>
      <c r="M446" s="1">
        <v>6.0</v>
      </c>
      <c r="N446" s="1">
        <v>598.0</v>
      </c>
      <c r="O446" s="1">
        <v>728.0</v>
      </c>
      <c r="P446" s="4">
        <f t="shared" si="1"/>
        <v>2</v>
      </c>
      <c r="Q446" s="4" t="str">
        <f t="shared" si="2"/>
        <v>Tuesday</v>
      </c>
      <c r="R446" s="4">
        <f t="shared" si="3"/>
        <v>0.01999999955</v>
      </c>
      <c r="S446" s="2">
        <f t="shared" si="4"/>
        <v>0</v>
      </c>
      <c r="T446" s="4" t="str">
        <f t="shared" si="5"/>
        <v>Low</v>
      </c>
    </row>
    <row r="447">
      <c r="A447" s="1">
        <v>8.877689391E9</v>
      </c>
      <c r="B447" s="3">
        <v>42461.0</v>
      </c>
      <c r="C447" s="1">
        <v>18700.0</v>
      </c>
      <c r="D447" s="1">
        <v>15.8199996948242</v>
      </c>
      <c r="E447" s="1">
        <v>15.8199996948242</v>
      </c>
      <c r="F447" s="1">
        <v>0.0</v>
      </c>
      <c r="G447" s="1">
        <v>8.69999980926514</v>
      </c>
      <c r="H447" s="1">
        <v>0.159999996423721</v>
      </c>
      <c r="I447" s="1">
        <v>6.90999984741211</v>
      </c>
      <c r="J447" s="1">
        <v>0.0</v>
      </c>
      <c r="K447" s="1">
        <v>67.0</v>
      </c>
      <c r="L447" s="1">
        <v>3.0</v>
      </c>
      <c r="M447" s="1">
        <v>247.0</v>
      </c>
      <c r="N447" s="1">
        <v>1123.0</v>
      </c>
      <c r="O447" s="1">
        <v>3527.0</v>
      </c>
      <c r="P447" s="4">
        <f t="shared" si="1"/>
        <v>5</v>
      </c>
      <c r="Q447" s="4" t="str">
        <f t="shared" si="2"/>
        <v>Friday</v>
      </c>
      <c r="R447" s="4">
        <f t="shared" si="3"/>
        <v>31.63999939</v>
      </c>
      <c r="S447" s="2">
        <f t="shared" si="4"/>
        <v>0.04861111111</v>
      </c>
      <c r="T447" s="4" t="str">
        <f t="shared" si="5"/>
        <v>High</v>
      </c>
    </row>
    <row r="448">
      <c r="A448" s="1">
        <v>8.877689391E9</v>
      </c>
      <c r="B448" s="3">
        <v>42462.0</v>
      </c>
      <c r="C448" s="1">
        <v>27572.0</v>
      </c>
      <c r="D448" s="1">
        <v>23.3899993896484</v>
      </c>
      <c r="E448" s="1">
        <v>23.3899993896484</v>
      </c>
      <c r="F448" s="1">
        <v>0.0</v>
      </c>
      <c r="G448" s="1">
        <v>14.7200002670288</v>
      </c>
      <c r="H448" s="1">
        <v>1.21000003814697</v>
      </c>
      <c r="I448" s="1">
        <v>7.34000015258789</v>
      </c>
      <c r="J448" s="1">
        <v>0.00999999977648258</v>
      </c>
      <c r="K448" s="1">
        <v>116.0</v>
      </c>
      <c r="L448" s="1">
        <v>24.0</v>
      </c>
      <c r="M448" s="1">
        <v>260.0</v>
      </c>
      <c r="N448" s="1">
        <v>1040.0</v>
      </c>
      <c r="O448" s="1">
        <v>4220.0</v>
      </c>
      <c r="P448" s="4">
        <f t="shared" si="1"/>
        <v>6</v>
      </c>
      <c r="Q448" s="4" t="str">
        <f t="shared" si="2"/>
        <v>Saturday</v>
      </c>
      <c r="R448" s="4">
        <f t="shared" si="3"/>
        <v>46.77999878</v>
      </c>
      <c r="S448" s="2">
        <f t="shared" si="4"/>
        <v>0.09722222222</v>
      </c>
      <c r="T448" s="4" t="str">
        <f t="shared" si="5"/>
        <v>High</v>
      </c>
    </row>
    <row r="449">
      <c r="A449" s="1">
        <v>8.877689391E9</v>
      </c>
      <c r="B449" s="3">
        <v>42463.0</v>
      </c>
      <c r="C449" s="1">
        <v>15260.0</v>
      </c>
      <c r="D449" s="1">
        <v>8.1899995803833</v>
      </c>
      <c r="E449" s="1">
        <v>8.1899995803833</v>
      </c>
      <c r="F449" s="1">
        <v>0.0</v>
      </c>
      <c r="G449" s="1">
        <v>1.79999995231628</v>
      </c>
      <c r="H449" s="1">
        <v>0.75</v>
      </c>
      <c r="I449" s="1">
        <v>5.57000017166138</v>
      </c>
      <c r="J449" s="1">
        <v>0.0</v>
      </c>
      <c r="K449" s="1">
        <v>106.0</v>
      </c>
      <c r="L449" s="1">
        <v>17.0</v>
      </c>
      <c r="M449" s="1">
        <v>259.0</v>
      </c>
      <c r="N449" s="1">
        <v>1058.0</v>
      </c>
      <c r="O449" s="1">
        <v>3864.0</v>
      </c>
      <c r="P449" s="4">
        <f t="shared" si="1"/>
        <v>7</v>
      </c>
      <c r="Q449" s="4" t="str">
        <f t="shared" si="2"/>
        <v>Sunday</v>
      </c>
      <c r="R449" s="4">
        <f t="shared" si="3"/>
        <v>16.37999916</v>
      </c>
      <c r="S449" s="2">
        <f t="shared" si="4"/>
        <v>0.08541666667</v>
      </c>
      <c r="T449" s="4" t="str">
        <f t="shared" si="5"/>
        <v>High</v>
      </c>
    </row>
    <row r="450">
      <c r="A450" s="1">
        <v>8.877689391E9</v>
      </c>
      <c r="B450" s="3">
        <v>42464.0</v>
      </c>
      <c r="C450" s="1">
        <v>20779.0</v>
      </c>
      <c r="D450" s="1">
        <v>18.4099998474121</v>
      </c>
      <c r="E450" s="1">
        <v>18.4099998474121</v>
      </c>
      <c r="F450" s="1">
        <v>0.0</v>
      </c>
      <c r="G450" s="1">
        <v>11.7299995422363</v>
      </c>
      <c r="H450" s="1">
        <v>0.649999976158142</v>
      </c>
      <c r="I450" s="1">
        <v>6.0</v>
      </c>
      <c r="J450" s="1">
        <v>0.0</v>
      </c>
      <c r="K450" s="1">
        <v>78.0</v>
      </c>
      <c r="L450" s="1">
        <v>16.0</v>
      </c>
      <c r="M450" s="1">
        <v>208.0</v>
      </c>
      <c r="N450" s="1">
        <v>1138.0</v>
      </c>
      <c r="O450" s="1">
        <v>3662.0</v>
      </c>
      <c r="P450" s="4">
        <f t="shared" si="1"/>
        <v>1</v>
      </c>
      <c r="Q450" s="4" t="str">
        <f t="shared" si="2"/>
        <v>Monday</v>
      </c>
      <c r="R450" s="4">
        <f t="shared" si="3"/>
        <v>36.81999969</v>
      </c>
      <c r="S450" s="2">
        <f t="shared" si="4"/>
        <v>0.06527777778</v>
      </c>
      <c r="T450" s="4" t="str">
        <f t="shared" si="5"/>
        <v>High</v>
      </c>
    </row>
    <row r="451">
      <c r="A451" s="1">
        <v>8.877689391E9</v>
      </c>
      <c r="B451" s="3">
        <v>42465.0</v>
      </c>
      <c r="C451" s="1">
        <v>10695.0</v>
      </c>
      <c r="D451" s="1">
        <v>8.11999988555908</v>
      </c>
      <c r="E451" s="1">
        <v>8.11999988555908</v>
      </c>
      <c r="F451" s="1">
        <v>0.0</v>
      </c>
      <c r="G451" s="1">
        <v>0.769999980926514</v>
      </c>
      <c r="H451" s="1">
        <v>0.180000007152557</v>
      </c>
      <c r="I451" s="1">
        <v>7.09000015258789</v>
      </c>
      <c r="J451" s="1">
        <v>0.00999999977648258</v>
      </c>
      <c r="K451" s="1">
        <v>10.0</v>
      </c>
      <c r="L451" s="1">
        <v>3.0</v>
      </c>
      <c r="M451" s="1">
        <v>246.0</v>
      </c>
      <c r="N451" s="1">
        <v>1181.0</v>
      </c>
      <c r="O451" s="1">
        <v>2834.0</v>
      </c>
      <c r="P451" s="4">
        <f t="shared" si="1"/>
        <v>2</v>
      </c>
      <c r="Q451" s="4" t="str">
        <f t="shared" si="2"/>
        <v>Tuesday</v>
      </c>
      <c r="R451" s="4">
        <f t="shared" si="3"/>
        <v>16.23999977</v>
      </c>
      <c r="S451" s="2">
        <f t="shared" si="4"/>
        <v>0.009027777778</v>
      </c>
      <c r="T451" s="4" t="str">
        <f t="shared" si="5"/>
        <v>Low</v>
      </c>
    </row>
    <row r="452">
      <c r="A452" s="1">
        <v>8.877689391E9</v>
      </c>
      <c r="B452" s="3">
        <v>42466.0</v>
      </c>
      <c r="C452" s="1">
        <v>24136.0</v>
      </c>
      <c r="D452" s="1">
        <v>20.9099998474121</v>
      </c>
      <c r="E452" s="1">
        <v>20.9099998474121</v>
      </c>
      <c r="F452" s="1">
        <v>0.0</v>
      </c>
      <c r="G452" s="1">
        <v>12.2200002670288</v>
      </c>
      <c r="H452" s="1">
        <v>0.540000021457672</v>
      </c>
      <c r="I452" s="1">
        <v>8.07999992370605</v>
      </c>
      <c r="J452" s="1">
        <v>0.0</v>
      </c>
      <c r="K452" s="1">
        <v>87.0</v>
      </c>
      <c r="L452" s="1">
        <v>16.0</v>
      </c>
      <c r="M452" s="1">
        <v>318.0</v>
      </c>
      <c r="N452" s="1">
        <v>1019.0</v>
      </c>
      <c r="O452" s="1">
        <v>4039.0</v>
      </c>
      <c r="P452" s="4">
        <f t="shared" si="1"/>
        <v>3</v>
      </c>
      <c r="Q452" s="4" t="str">
        <f t="shared" si="2"/>
        <v>Wednesday</v>
      </c>
      <c r="R452" s="4">
        <f t="shared" si="3"/>
        <v>41.81999969</v>
      </c>
      <c r="S452" s="2">
        <f t="shared" si="4"/>
        <v>0.07152777778</v>
      </c>
      <c r="T452" s="4" t="str">
        <f t="shared" si="5"/>
        <v>High</v>
      </c>
    </row>
    <row r="453">
      <c r="A453" s="1">
        <v>8.877689391E9</v>
      </c>
      <c r="B453" s="3">
        <v>42467.0</v>
      </c>
      <c r="C453" s="1">
        <v>10910.0</v>
      </c>
      <c r="D453" s="1">
        <v>8.42000007629395</v>
      </c>
      <c r="E453" s="1">
        <v>8.42000007629395</v>
      </c>
      <c r="F453" s="1">
        <v>0.0</v>
      </c>
      <c r="G453" s="1">
        <v>2.96000003814697</v>
      </c>
      <c r="H453" s="1">
        <v>0.389999985694885</v>
      </c>
      <c r="I453" s="1">
        <v>5.03000020980835</v>
      </c>
      <c r="J453" s="1">
        <v>0.0</v>
      </c>
      <c r="K453" s="1">
        <v>32.0</v>
      </c>
      <c r="L453" s="1">
        <v>11.0</v>
      </c>
      <c r="M453" s="1">
        <v>212.0</v>
      </c>
      <c r="N453" s="1">
        <v>1185.0</v>
      </c>
      <c r="O453" s="1">
        <v>2947.0</v>
      </c>
      <c r="P453" s="4">
        <f t="shared" si="1"/>
        <v>4</v>
      </c>
      <c r="Q453" s="4" t="str">
        <f t="shared" si="2"/>
        <v>Thursday</v>
      </c>
      <c r="R453" s="4">
        <f t="shared" si="3"/>
        <v>16.84000015</v>
      </c>
      <c r="S453" s="2">
        <f t="shared" si="4"/>
        <v>0.02986111111</v>
      </c>
      <c r="T453" s="4" t="str">
        <f t="shared" si="5"/>
        <v>High</v>
      </c>
    </row>
    <row r="454">
      <c r="A454" s="1">
        <v>8.877689391E9</v>
      </c>
      <c r="B454" s="3">
        <v>42468.0</v>
      </c>
      <c r="C454" s="1">
        <v>23014.0</v>
      </c>
      <c r="D454" s="1">
        <v>20.3899993896484</v>
      </c>
      <c r="E454" s="1">
        <v>20.3899993896484</v>
      </c>
      <c r="F454" s="1">
        <v>0.0</v>
      </c>
      <c r="G454" s="1">
        <v>11.1000003814697</v>
      </c>
      <c r="H454" s="1">
        <v>0.629999995231628</v>
      </c>
      <c r="I454" s="1">
        <v>8.61999988555908</v>
      </c>
      <c r="J454" s="1">
        <v>0.0</v>
      </c>
      <c r="K454" s="1">
        <v>70.0</v>
      </c>
      <c r="L454" s="1">
        <v>29.0</v>
      </c>
      <c r="M454" s="1">
        <v>359.0</v>
      </c>
      <c r="N454" s="1">
        <v>982.0</v>
      </c>
      <c r="O454" s="1">
        <v>4196.0</v>
      </c>
      <c r="P454" s="4">
        <f t="shared" si="1"/>
        <v>5</v>
      </c>
      <c r="Q454" s="4" t="str">
        <f t="shared" si="2"/>
        <v>Friday</v>
      </c>
      <c r="R454" s="4">
        <f t="shared" si="3"/>
        <v>40.77999878</v>
      </c>
      <c r="S454" s="2">
        <f t="shared" si="4"/>
        <v>0.06875</v>
      </c>
      <c r="T454" s="4" t="str">
        <f t="shared" si="5"/>
        <v>High</v>
      </c>
    </row>
    <row r="455">
      <c r="A455" s="1">
        <v>8.877689391E9</v>
      </c>
      <c r="B455" s="3">
        <v>42469.0</v>
      </c>
      <c r="C455" s="1">
        <v>16470.0</v>
      </c>
      <c r="D455" s="1">
        <v>8.06999969482422</v>
      </c>
      <c r="E455" s="1">
        <v>8.06999969482422</v>
      </c>
      <c r="F455" s="1">
        <v>0.0</v>
      </c>
      <c r="G455" s="1">
        <v>0.0</v>
      </c>
      <c r="H455" s="1">
        <v>0.0199999995529652</v>
      </c>
      <c r="I455" s="1">
        <v>8.02000045776367</v>
      </c>
      <c r="J455" s="1">
        <v>0.0</v>
      </c>
      <c r="K455" s="1">
        <v>90.0</v>
      </c>
      <c r="L455" s="1">
        <v>9.0</v>
      </c>
      <c r="M455" s="1">
        <v>289.0</v>
      </c>
      <c r="N455" s="1">
        <v>1052.0</v>
      </c>
      <c r="O455" s="1">
        <v>3841.0</v>
      </c>
      <c r="P455" s="4">
        <f t="shared" si="1"/>
        <v>6</v>
      </c>
      <c r="Q455" s="4" t="str">
        <f t="shared" si="2"/>
        <v>Saturday</v>
      </c>
      <c r="R455" s="4">
        <f t="shared" si="3"/>
        <v>16.13999939</v>
      </c>
      <c r="S455" s="2">
        <f t="shared" si="4"/>
        <v>0.06875</v>
      </c>
      <c r="T455" s="4" t="str">
        <f t="shared" si="5"/>
        <v>High</v>
      </c>
    </row>
    <row r="456">
      <c r="A456" s="1">
        <v>8.877689391E9</v>
      </c>
      <c r="B456" s="3">
        <v>42470.0</v>
      </c>
      <c r="C456" s="1">
        <v>28497.0</v>
      </c>
      <c r="D456" s="1">
        <v>27.5300006866455</v>
      </c>
      <c r="E456" s="1">
        <v>27.5300006866455</v>
      </c>
      <c r="F456" s="1">
        <v>0.0</v>
      </c>
      <c r="G456" s="1">
        <v>21.9200000762939</v>
      </c>
      <c r="H456" s="1">
        <v>1.12000000476837</v>
      </c>
      <c r="I456" s="1">
        <v>4.46000003814697</v>
      </c>
      <c r="J456" s="1">
        <v>0.0</v>
      </c>
      <c r="K456" s="1">
        <v>128.0</v>
      </c>
      <c r="L456" s="1">
        <v>46.0</v>
      </c>
      <c r="M456" s="1">
        <v>211.0</v>
      </c>
      <c r="N456" s="1">
        <v>1055.0</v>
      </c>
      <c r="O456" s="1">
        <v>4526.0</v>
      </c>
      <c r="P456" s="4">
        <f t="shared" si="1"/>
        <v>7</v>
      </c>
      <c r="Q456" s="4" t="str">
        <f t="shared" si="2"/>
        <v>Sunday</v>
      </c>
      <c r="R456" s="4">
        <f t="shared" si="3"/>
        <v>55.06000137</v>
      </c>
      <c r="S456" s="2">
        <f t="shared" si="4"/>
        <v>0.1208333333</v>
      </c>
      <c r="T456" s="4" t="str">
        <f t="shared" si="5"/>
        <v>High</v>
      </c>
    </row>
    <row r="457">
      <c r="A457" s="1">
        <v>8.877689391E9</v>
      </c>
      <c r="B457" s="3">
        <v>42471.0</v>
      </c>
      <c r="C457" s="1">
        <v>10622.0</v>
      </c>
      <c r="D457" s="1">
        <v>8.0600004196167</v>
      </c>
      <c r="E457" s="1">
        <v>8.0600004196167</v>
      </c>
      <c r="F457" s="1">
        <v>0.0</v>
      </c>
      <c r="G457" s="1">
        <v>1.47000002861023</v>
      </c>
      <c r="H457" s="1">
        <v>0.150000005960464</v>
      </c>
      <c r="I457" s="1">
        <v>6.36999988555908</v>
      </c>
      <c r="J457" s="1">
        <v>0.00999999977648258</v>
      </c>
      <c r="K457" s="1">
        <v>18.0</v>
      </c>
      <c r="L457" s="1">
        <v>7.0</v>
      </c>
      <c r="M457" s="1">
        <v>225.0</v>
      </c>
      <c r="N457" s="1">
        <v>1190.0</v>
      </c>
      <c r="O457" s="1">
        <v>2820.0</v>
      </c>
      <c r="P457" s="4">
        <f t="shared" si="1"/>
        <v>1</v>
      </c>
      <c r="Q457" s="4" t="str">
        <f t="shared" si="2"/>
        <v>Monday</v>
      </c>
      <c r="R457" s="4">
        <f t="shared" si="3"/>
        <v>16.12000084</v>
      </c>
      <c r="S457" s="2">
        <f t="shared" si="4"/>
        <v>0.01736111111</v>
      </c>
      <c r="T457" s="4" t="str">
        <f t="shared" si="5"/>
        <v>Moderate</v>
      </c>
    </row>
    <row r="458">
      <c r="A458" s="1">
        <v>8.877689391E9</v>
      </c>
      <c r="B458" s="3">
        <v>42472.0</v>
      </c>
      <c r="C458" s="1">
        <v>2350.0</v>
      </c>
      <c r="D458" s="1">
        <v>1.77999997138977</v>
      </c>
      <c r="E458" s="1">
        <v>1.77999997138977</v>
      </c>
      <c r="F458" s="1">
        <v>0.0</v>
      </c>
      <c r="G458" s="1">
        <v>0.0</v>
      </c>
      <c r="H458" s="1">
        <v>0.0</v>
      </c>
      <c r="I458" s="1">
        <v>1.77999997138977</v>
      </c>
      <c r="J458" s="1">
        <v>0.0</v>
      </c>
      <c r="K458" s="1">
        <v>0.0</v>
      </c>
      <c r="L458" s="1">
        <v>0.0</v>
      </c>
      <c r="M458" s="1">
        <v>58.0</v>
      </c>
      <c r="N458" s="1">
        <v>531.0</v>
      </c>
      <c r="O458" s="1">
        <v>938.0</v>
      </c>
      <c r="P458" s="4">
        <f t="shared" si="1"/>
        <v>2</v>
      </c>
      <c r="Q458" s="4" t="str">
        <f t="shared" si="2"/>
        <v>Tuesday</v>
      </c>
      <c r="R458" s="4">
        <f t="shared" si="3"/>
        <v>3.559999943</v>
      </c>
      <c r="S458" s="2">
        <f t="shared" si="4"/>
        <v>0</v>
      </c>
      <c r="T458" s="4" t="str">
        <f t="shared" si="5"/>
        <v>Low</v>
      </c>
    </row>
    <row r="459">
      <c r="S459" s="5"/>
    </row>
    <row r="460">
      <c r="S460" s="5"/>
    </row>
    <row r="461">
      <c r="S461" s="5"/>
    </row>
    <row r="462">
      <c r="S462" s="5"/>
    </row>
    <row r="463">
      <c r="S463" s="5"/>
    </row>
    <row r="464">
      <c r="S464" s="5"/>
    </row>
    <row r="465">
      <c r="S465" s="5"/>
    </row>
    <row r="466">
      <c r="S466" s="5"/>
    </row>
    <row r="467">
      <c r="S467" s="5"/>
    </row>
    <row r="468">
      <c r="S468" s="5"/>
    </row>
    <row r="469">
      <c r="S469" s="5"/>
    </row>
    <row r="470">
      <c r="S470" s="5"/>
    </row>
    <row r="471">
      <c r="S471" s="5"/>
    </row>
    <row r="472">
      <c r="S472" s="5"/>
    </row>
    <row r="473">
      <c r="S473" s="5"/>
    </row>
    <row r="474">
      <c r="S474" s="5"/>
    </row>
    <row r="475">
      <c r="S475" s="5"/>
    </row>
    <row r="476">
      <c r="S476" s="5"/>
    </row>
    <row r="477">
      <c r="S477" s="5"/>
    </row>
    <row r="478">
      <c r="S478" s="5"/>
    </row>
    <row r="479">
      <c r="S479" s="5"/>
    </row>
    <row r="480">
      <c r="S480" s="5"/>
    </row>
    <row r="481">
      <c r="S481" s="5"/>
    </row>
    <row r="482">
      <c r="S482" s="5"/>
    </row>
    <row r="483">
      <c r="S483" s="5"/>
    </row>
    <row r="484">
      <c r="S484" s="5"/>
    </row>
    <row r="485">
      <c r="S485" s="5"/>
    </row>
    <row r="486">
      <c r="S486" s="5"/>
    </row>
    <row r="487">
      <c r="S487" s="5"/>
    </row>
    <row r="488">
      <c r="S488" s="5"/>
    </row>
    <row r="489">
      <c r="S489" s="5"/>
    </row>
    <row r="490">
      <c r="S490" s="5"/>
    </row>
    <row r="491">
      <c r="S491" s="5"/>
    </row>
    <row r="492">
      <c r="S492" s="5"/>
    </row>
    <row r="493">
      <c r="S493" s="5"/>
    </row>
    <row r="494">
      <c r="S494" s="5"/>
    </row>
    <row r="495">
      <c r="S495" s="5"/>
    </row>
    <row r="496">
      <c r="S496" s="5"/>
    </row>
    <row r="497">
      <c r="S497" s="5"/>
    </row>
    <row r="498">
      <c r="S498" s="5"/>
    </row>
    <row r="499">
      <c r="S499" s="5"/>
    </row>
    <row r="500">
      <c r="S500" s="5"/>
    </row>
    <row r="501">
      <c r="S501" s="5"/>
    </row>
    <row r="502">
      <c r="S502" s="5"/>
    </row>
    <row r="503">
      <c r="S503" s="5"/>
    </row>
    <row r="504">
      <c r="S504" s="5"/>
    </row>
    <row r="505">
      <c r="S505" s="5"/>
    </row>
    <row r="506">
      <c r="S506" s="5"/>
    </row>
    <row r="507">
      <c r="S507" s="5"/>
    </row>
    <row r="508">
      <c r="S508" s="5"/>
    </row>
    <row r="509">
      <c r="S509" s="5"/>
    </row>
    <row r="510">
      <c r="S510" s="5"/>
    </row>
    <row r="511">
      <c r="S511" s="5"/>
    </row>
    <row r="512">
      <c r="S512" s="5"/>
    </row>
    <row r="513">
      <c r="S513" s="5"/>
    </row>
    <row r="514">
      <c r="S514" s="5"/>
    </row>
    <row r="515">
      <c r="S515" s="5"/>
    </row>
    <row r="516">
      <c r="S516" s="5"/>
    </row>
    <row r="517">
      <c r="S517" s="5"/>
    </row>
    <row r="518">
      <c r="S518" s="5"/>
    </row>
    <row r="519">
      <c r="S519" s="5"/>
    </row>
    <row r="520">
      <c r="S520" s="5"/>
    </row>
    <row r="521">
      <c r="S521" s="5"/>
    </row>
    <row r="522">
      <c r="S522" s="5"/>
    </row>
    <row r="523">
      <c r="S523" s="5"/>
    </row>
    <row r="524">
      <c r="S524" s="5"/>
    </row>
    <row r="525">
      <c r="S525" s="5"/>
    </row>
    <row r="526">
      <c r="S526" s="5"/>
    </row>
    <row r="527">
      <c r="S527" s="5"/>
    </row>
    <row r="528">
      <c r="S528" s="5"/>
    </row>
    <row r="529">
      <c r="S529" s="5"/>
    </row>
    <row r="530">
      <c r="S530" s="5"/>
    </row>
    <row r="531">
      <c r="S531" s="5"/>
    </row>
    <row r="532">
      <c r="S532" s="5"/>
    </row>
    <row r="533">
      <c r="S533" s="5"/>
    </row>
    <row r="534">
      <c r="S534" s="5"/>
    </row>
    <row r="535">
      <c r="S535" s="5"/>
    </row>
    <row r="536">
      <c r="S536" s="5"/>
    </row>
    <row r="537">
      <c r="S537" s="5"/>
    </row>
    <row r="538">
      <c r="S538" s="5"/>
    </row>
    <row r="539">
      <c r="S539" s="5"/>
    </row>
    <row r="540">
      <c r="S540" s="5"/>
    </row>
    <row r="541">
      <c r="S541" s="5"/>
    </row>
    <row r="542">
      <c r="S542" s="5"/>
    </row>
    <row r="543">
      <c r="S543" s="5"/>
    </row>
    <row r="544">
      <c r="S544" s="5"/>
    </row>
    <row r="545">
      <c r="S545" s="5"/>
    </row>
    <row r="546">
      <c r="S546" s="5"/>
    </row>
    <row r="547">
      <c r="S547" s="5"/>
    </row>
    <row r="548">
      <c r="S548" s="5"/>
    </row>
    <row r="549">
      <c r="S549" s="5"/>
    </row>
    <row r="550">
      <c r="S550" s="5"/>
    </row>
    <row r="551">
      <c r="S551" s="5"/>
    </row>
    <row r="552">
      <c r="S552" s="5"/>
    </row>
    <row r="553">
      <c r="S553" s="5"/>
    </row>
    <row r="554">
      <c r="S554" s="5"/>
    </row>
    <row r="555">
      <c r="S555" s="5"/>
    </row>
    <row r="556">
      <c r="S556" s="5"/>
    </row>
    <row r="557">
      <c r="S557" s="5"/>
    </row>
    <row r="558">
      <c r="S558" s="5"/>
    </row>
    <row r="559">
      <c r="S559" s="5"/>
    </row>
    <row r="560">
      <c r="S560" s="5"/>
    </row>
    <row r="561">
      <c r="S561" s="5"/>
    </row>
    <row r="562">
      <c r="S562" s="5"/>
    </row>
    <row r="563">
      <c r="S563" s="5"/>
    </row>
    <row r="564">
      <c r="S564" s="5"/>
    </row>
    <row r="565">
      <c r="S565" s="5"/>
    </row>
    <row r="566">
      <c r="S566" s="5"/>
    </row>
    <row r="567">
      <c r="S567" s="5"/>
    </row>
    <row r="568">
      <c r="S568" s="5"/>
    </row>
    <row r="569">
      <c r="S569" s="5"/>
    </row>
    <row r="570">
      <c r="S570" s="5"/>
    </row>
    <row r="571">
      <c r="S571" s="5"/>
    </row>
    <row r="572">
      <c r="S572" s="5"/>
    </row>
    <row r="573">
      <c r="S573" s="5"/>
    </row>
    <row r="574">
      <c r="S574" s="5"/>
    </row>
    <row r="575">
      <c r="S575" s="5"/>
    </row>
    <row r="576">
      <c r="S576" s="5"/>
    </row>
    <row r="577">
      <c r="S577" s="5"/>
    </row>
    <row r="578">
      <c r="S578" s="5"/>
    </row>
    <row r="579">
      <c r="S579" s="5"/>
    </row>
    <row r="580">
      <c r="S580" s="5"/>
    </row>
    <row r="581">
      <c r="S581" s="5"/>
    </row>
    <row r="582">
      <c r="S582" s="5"/>
    </row>
    <row r="583">
      <c r="S583" s="5"/>
    </row>
    <row r="584">
      <c r="S584" s="5"/>
    </row>
    <row r="585">
      <c r="S585" s="5"/>
    </row>
    <row r="586">
      <c r="S586" s="5"/>
    </row>
    <row r="587">
      <c r="S587" s="5"/>
    </row>
    <row r="588">
      <c r="S588" s="5"/>
    </row>
    <row r="589">
      <c r="S589" s="5"/>
    </row>
    <row r="590">
      <c r="S590" s="5"/>
    </row>
    <row r="591">
      <c r="S591" s="5"/>
    </row>
    <row r="592">
      <c r="S592" s="5"/>
    </row>
    <row r="593">
      <c r="S593" s="5"/>
    </row>
    <row r="594">
      <c r="S594" s="5"/>
    </row>
    <row r="595">
      <c r="S595" s="5"/>
    </row>
    <row r="596">
      <c r="S596" s="5"/>
    </row>
    <row r="597">
      <c r="S597" s="5"/>
    </row>
    <row r="598">
      <c r="S598" s="5"/>
    </row>
    <row r="599">
      <c r="S599" s="5"/>
    </row>
    <row r="600">
      <c r="S600" s="5"/>
    </row>
    <row r="601">
      <c r="S601" s="5"/>
    </row>
    <row r="602">
      <c r="S602" s="5"/>
    </row>
    <row r="603">
      <c r="S603" s="5"/>
    </row>
    <row r="604">
      <c r="S604" s="5"/>
    </row>
    <row r="605">
      <c r="S605" s="5"/>
    </row>
    <row r="606">
      <c r="S606" s="5"/>
    </row>
    <row r="607">
      <c r="S607" s="5"/>
    </row>
    <row r="608">
      <c r="S608" s="5"/>
    </row>
    <row r="609">
      <c r="S609" s="5"/>
    </row>
    <row r="610">
      <c r="S610" s="5"/>
    </row>
    <row r="611">
      <c r="S611" s="5"/>
    </row>
    <row r="612">
      <c r="S612" s="5"/>
    </row>
    <row r="613">
      <c r="S613" s="5"/>
    </row>
    <row r="614">
      <c r="S614" s="5"/>
    </row>
    <row r="615">
      <c r="S615" s="5"/>
    </row>
    <row r="616">
      <c r="S616" s="5"/>
    </row>
    <row r="617">
      <c r="S617" s="5"/>
    </row>
    <row r="618">
      <c r="S618" s="5"/>
    </row>
    <row r="619">
      <c r="S619" s="5"/>
    </row>
    <row r="620">
      <c r="S620" s="5"/>
    </row>
    <row r="621">
      <c r="S621" s="5"/>
    </row>
    <row r="622">
      <c r="S622" s="5"/>
    </row>
    <row r="623">
      <c r="S623" s="5"/>
    </row>
    <row r="624">
      <c r="S624" s="5"/>
    </row>
    <row r="625">
      <c r="S625" s="5"/>
    </row>
    <row r="626">
      <c r="S626" s="5"/>
    </row>
    <row r="627">
      <c r="S627" s="5"/>
    </row>
    <row r="628">
      <c r="S628" s="5"/>
    </row>
    <row r="629">
      <c r="S629" s="5"/>
    </row>
    <row r="630">
      <c r="S630" s="5"/>
    </row>
    <row r="631">
      <c r="S631" s="5"/>
    </row>
    <row r="632">
      <c r="S632" s="5"/>
    </row>
    <row r="633">
      <c r="S633" s="5"/>
    </row>
    <row r="634">
      <c r="S634" s="5"/>
    </row>
    <row r="635">
      <c r="S635" s="5"/>
    </row>
    <row r="636">
      <c r="S636" s="5"/>
    </row>
    <row r="637">
      <c r="S637" s="5"/>
    </row>
    <row r="638">
      <c r="S638" s="5"/>
    </row>
    <row r="639">
      <c r="S639" s="5"/>
    </row>
    <row r="640">
      <c r="S640" s="5"/>
    </row>
    <row r="641">
      <c r="S641" s="5"/>
    </row>
    <row r="642">
      <c r="S642" s="5"/>
    </row>
    <row r="643">
      <c r="S643" s="5"/>
    </row>
    <row r="644">
      <c r="S644" s="5"/>
    </row>
    <row r="645">
      <c r="S645" s="5"/>
    </row>
    <row r="646">
      <c r="S646" s="5"/>
    </row>
    <row r="647">
      <c r="S647" s="5"/>
    </row>
    <row r="648">
      <c r="S648" s="5"/>
    </row>
    <row r="649">
      <c r="S649" s="5"/>
    </row>
    <row r="650">
      <c r="S650" s="5"/>
    </row>
    <row r="651">
      <c r="S651" s="5"/>
    </row>
    <row r="652">
      <c r="S652" s="5"/>
    </row>
    <row r="653">
      <c r="S653" s="5"/>
    </row>
    <row r="654">
      <c r="S654" s="5"/>
    </row>
    <row r="655">
      <c r="S655" s="5"/>
    </row>
    <row r="656">
      <c r="S656" s="5"/>
    </row>
    <row r="657">
      <c r="S657" s="5"/>
    </row>
    <row r="658">
      <c r="S658" s="5"/>
    </row>
    <row r="659">
      <c r="S659" s="5"/>
    </row>
    <row r="660">
      <c r="S660" s="5"/>
    </row>
    <row r="661">
      <c r="S661" s="5"/>
    </row>
    <row r="662">
      <c r="S662" s="5"/>
    </row>
    <row r="663">
      <c r="S663" s="5"/>
    </row>
    <row r="664">
      <c r="S664" s="5"/>
    </row>
    <row r="665">
      <c r="S665" s="5"/>
    </row>
    <row r="666">
      <c r="S666" s="5"/>
    </row>
    <row r="667">
      <c r="S667" s="5"/>
    </row>
    <row r="668">
      <c r="S668" s="5"/>
    </row>
    <row r="669">
      <c r="S669" s="5"/>
    </row>
    <row r="670">
      <c r="S670" s="5"/>
    </row>
    <row r="671">
      <c r="S671" s="5"/>
    </row>
    <row r="672">
      <c r="S672" s="5"/>
    </row>
    <row r="673">
      <c r="S673" s="5"/>
    </row>
    <row r="674">
      <c r="S674" s="5"/>
    </row>
    <row r="675">
      <c r="S675" s="5"/>
    </row>
    <row r="676">
      <c r="S676" s="5"/>
    </row>
    <row r="677">
      <c r="S677" s="5"/>
    </row>
    <row r="678">
      <c r="S678" s="5"/>
    </row>
    <row r="679">
      <c r="S679" s="5"/>
    </row>
    <row r="680">
      <c r="S680" s="5"/>
    </row>
    <row r="681">
      <c r="S681" s="5"/>
    </row>
    <row r="682">
      <c r="S682" s="5"/>
    </row>
    <row r="683">
      <c r="S683" s="5"/>
    </row>
    <row r="684">
      <c r="S684" s="5"/>
    </row>
    <row r="685">
      <c r="S685" s="5"/>
    </row>
    <row r="686">
      <c r="S686" s="5"/>
    </row>
    <row r="687">
      <c r="S687" s="5"/>
    </row>
    <row r="688">
      <c r="S688" s="5"/>
    </row>
    <row r="689">
      <c r="S689" s="5"/>
    </row>
    <row r="690">
      <c r="S690" s="5"/>
    </row>
    <row r="691">
      <c r="S691" s="5"/>
    </row>
    <row r="692">
      <c r="S692" s="5"/>
    </row>
    <row r="693">
      <c r="S693" s="5"/>
    </row>
    <row r="694">
      <c r="S694" s="5"/>
    </row>
    <row r="695">
      <c r="S695" s="5"/>
    </row>
    <row r="696">
      <c r="S696" s="5"/>
    </row>
    <row r="697">
      <c r="S697" s="5"/>
    </row>
    <row r="698">
      <c r="S698" s="5"/>
    </row>
    <row r="699">
      <c r="S699" s="5"/>
    </row>
    <row r="700">
      <c r="S700" s="5"/>
    </row>
    <row r="701">
      <c r="S701" s="5"/>
    </row>
    <row r="702">
      <c r="S702" s="5"/>
    </row>
    <row r="703">
      <c r="S703" s="5"/>
    </row>
    <row r="704">
      <c r="S704" s="5"/>
    </row>
    <row r="705">
      <c r="S705" s="5"/>
    </row>
    <row r="706">
      <c r="S706" s="5"/>
    </row>
    <row r="707">
      <c r="S707" s="5"/>
    </row>
    <row r="708">
      <c r="S708" s="5"/>
    </row>
    <row r="709">
      <c r="S709" s="5"/>
    </row>
    <row r="710">
      <c r="S710" s="5"/>
    </row>
    <row r="711">
      <c r="S711" s="5"/>
    </row>
    <row r="712">
      <c r="S712" s="5"/>
    </row>
    <row r="713">
      <c r="S713" s="5"/>
    </row>
    <row r="714">
      <c r="S714" s="5"/>
    </row>
    <row r="715">
      <c r="S715" s="5"/>
    </row>
    <row r="716">
      <c r="S716" s="5"/>
    </row>
    <row r="717">
      <c r="S717" s="5"/>
    </row>
    <row r="718">
      <c r="S718" s="5"/>
    </row>
    <row r="719">
      <c r="S719" s="5"/>
    </row>
    <row r="720">
      <c r="S720" s="5"/>
    </row>
    <row r="721">
      <c r="S721" s="5"/>
    </row>
    <row r="722">
      <c r="S722" s="5"/>
    </row>
    <row r="723">
      <c r="S723" s="5"/>
    </row>
    <row r="724">
      <c r="S724" s="5"/>
    </row>
    <row r="725">
      <c r="S725" s="5"/>
    </row>
    <row r="726">
      <c r="S726" s="5"/>
    </row>
    <row r="727">
      <c r="S727" s="5"/>
    </row>
    <row r="728">
      <c r="S728" s="5"/>
    </row>
    <row r="729">
      <c r="S729" s="5"/>
    </row>
    <row r="730">
      <c r="S730" s="5"/>
    </row>
    <row r="731">
      <c r="S731" s="5"/>
    </row>
    <row r="732">
      <c r="S732" s="5"/>
    </row>
    <row r="733">
      <c r="S733" s="5"/>
    </row>
    <row r="734">
      <c r="S734" s="5"/>
    </row>
    <row r="735">
      <c r="S735" s="5"/>
    </row>
    <row r="736">
      <c r="S736" s="5"/>
    </row>
    <row r="737">
      <c r="S737" s="5"/>
    </row>
    <row r="738">
      <c r="S738" s="5"/>
    </row>
    <row r="739">
      <c r="S739" s="5"/>
    </row>
    <row r="740">
      <c r="S740" s="5"/>
    </row>
    <row r="741">
      <c r="S741" s="5"/>
    </row>
    <row r="742">
      <c r="S742" s="5"/>
    </row>
    <row r="743">
      <c r="S743" s="5"/>
    </row>
    <row r="744">
      <c r="S744" s="5"/>
    </row>
    <row r="745">
      <c r="S745" s="5"/>
    </row>
    <row r="746">
      <c r="S746" s="5"/>
    </row>
    <row r="747">
      <c r="S747" s="5"/>
    </row>
    <row r="748">
      <c r="S748" s="5"/>
    </row>
    <row r="749">
      <c r="S749" s="5"/>
    </row>
    <row r="750">
      <c r="S750" s="5"/>
    </row>
    <row r="751">
      <c r="S751" s="5"/>
    </row>
    <row r="752">
      <c r="S752" s="5"/>
    </row>
    <row r="753">
      <c r="S753" s="5"/>
    </row>
    <row r="754">
      <c r="S754" s="5"/>
    </row>
    <row r="755">
      <c r="S755" s="5"/>
    </row>
    <row r="756">
      <c r="S756" s="5"/>
    </row>
    <row r="757">
      <c r="S757" s="5"/>
    </row>
    <row r="758">
      <c r="S758" s="5"/>
    </row>
    <row r="759">
      <c r="S759" s="5"/>
    </row>
    <row r="760">
      <c r="S760" s="5"/>
    </row>
    <row r="761">
      <c r="S761" s="5"/>
    </row>
    <row r="762">
      <c r="S762" s="5"/>
    </row>
    <row r="763">
      <c r="S763" s="5"/>
    </row>
    <row r="764">
      <c r="S764" s="5"/>
    </row>
    <row r="765">
      <c r="S765" s="5"/>
    </row>
    <row r="766">
      <c r="S766" s="5"/>
    </row>
    <row r="767">
      <c r="S767" s="5"/>
    </row>
    <row r="768">
      <c r="S768" s="5"/>
    </row>
    <row r="769">
      <c r="S769" s="5"/>
    </row>
    <row r="770">
      <c r="S770" s="5"/>
    </row>
    <row r="771">
      <c r="S771" s="5"/>
    </row>
    <row r="772">
      <c r="S772" s="5"/>
    </row>
    <row r="773">
      <c r="S773" s="5"/>
    </row>
    <row r="774">
      <c r="S774" s="5"/>
    </row>
    <row r="775">
      <c r="S775" s="5"/>
    </row>
    <row r="776">
      <c r="S776" s="5"/>
    </row>
    <row r="777">
      <c r="S777" s="5"/>
    </row>
    <row r="778">
      <c r="S778" s="5"/>
    </row>
    <row r="779">
      <c r="S779" s="5"/>
    </row>
    <row r="780">
      <c r="S780" s="5"/>
    </row>
    <row r="781">
      <c r="S781" s="5"/>
    </row>
    <row r="782">
      <c r="S782" s="5"/>
    </row>
    <row r="783">
      <c r="S783" s="5"/>
    </row>
    <row r="784">
      <c r="S784" s="5"/>
    </row>
    <row r="785">
      <c r="S785" s="5"/>
    </row>
    <row r="786">
      <c r="S786" s="5"/>
    </row>
    <row r="787">
      <c r="S787" s="5"/>
    </row>
    <row r="788">
      <c r="S788" s="5"/>
    </row>
    <row r="789">
      <c r="S789" s="5"/>
    </row>
    <row r="790">
      <c r="S790" s="5"/>
    </row>
    <row r="791">
      <c r="S791" s="5"/>
    </row>
    <row r="792">
      <c r="S792" s="5"/>
    </row>
    <row r="793">
      <c r="S793" s="5"/>
    </row>
    <row r="794">
      <c r="S794" s="5"/>
    </row>
    <row r="795">
      <c r="S795" s="5"/>
    </row>
    <row r="796">
      <c r="S796" s="5"/>
    </row>
    <row r="797">
      <c r="S797" s="5"/>
    </row>
    <row r="798">
      <c r="S798" s="5"/>
    </row>
    <row r="799">
      <c r="S799" s="5"/>
    </row>
    <row r="800">
      <c r="S800" s="5"/>
    </row>
    <row r="801">
      <c r="S801" s="5"/>
    </row>
    <row r="802">
      <c r="S802" s="5"/>
    </row>
    <row r="803">
      <c r="S803" s="5"/>
    </row>
    <row r="804">
      <c r="S804" s="5"/>
    </row>
    <row r="805">
      <c r="S805" s="5"/>
    </row>
    <row r="806">
      <c r="S806" s="5"/>
    </row>
    <row r="807">
      <c r="S807" s="5"/>
    </row>
    <row r="808">
      <c r="S808" s="5"/>
    </row>
    <row r="809">
      <c r="S809" s="5"/>
    </row>
    <row r="810">
      <c r="S810" s="5"/>
    </row>
    <row r="811">
      <c r="S811" s="5"/>
    </row>
    <row r="812">
      <c r="S812" s="5"/>
    </row>
    <row r="813">
      <c r="S813" s="5"/>
    </row>
    <row r="814">
      <c r="S814" s="5"/>
    </row>
    <row r="815">
      <c r="S815" s="5"/>
    </row>
    <row r="816">
      <c r="S816" s="5"/>
    </row>
    <row r="817">
      <c r="S817" s="5"/>
    </row>
    <row r="818">
      <c r="S818" s="5"/>
    </row>
    <row r="819">
      <c r="S819" s="5"/>
    </row>
    <row r="820">
      <c r="S820" s="5"/>
    </row>
    <row r="821">
      <c r="S821" s="5"/>
    </row>
    <row r="822">
      <c r="S822" s="5"/>
    </row>
    <row r="823">
      <c r="S823" s="5"/>
    </row>
    <row r="824">
      <c r="S824" s="5"/>
    </row>
    <row r="825">
      <c r="S825" s="5"/>
    </row>
    <row r="826">
      <c r="S826" s="5"/>
    </row>
    <row r="827">
      <c r="S827" s="5"/>
    </row>
    <row r="828">
      <c r="S828" s="5"/>
    </row>
    <row r="829">
      <c r="S829" s="5"/>
    </row>
    <row r="830">
      <c r="S830" s="5"/>
    </row>
    <row r="831">
      <c r="S831" s="5"/>
    </row>
    <row r="832">
      <c r="S832" s="5"/>
    </row>
    <row r="833">
      <c r="S833" s="5"/>
    </row>
    <row r="834">
      <c r="S834" s="5"/>
    </row>
    <row r="835">
      <c r="S835" s="5"/>
    </row>
    <row r="836">
      <c r="S836" s="5"/>
    </row>
    <row r="837">
      <c r="S837" s="5"/>
    </row>
    <row r="838">
      <c r="S838" s="5"/>
    </row>
    <row r="839">
      <c r="S839" s="5"/>
    </row>
    <row r="840">
      <c r="S840" s="5"/>
    </row>
    <row r="841">
      <c r="S841" s="5"/>
    </row>
    <row r="842">
      <c r="S842" s="5"/>
    </row>
    <row r="843">
      <c r="S843" s="5"/>
    </row>
    <row r="844">
      <c r="S844" s="5"/>
    </row>
    <row r="845">
      <c r="S845" s="5"/>
    </row>
    <row r="846">
      <c r="S846" s="5"/>
    </row>
    <row r="847">
      <c r="S847" s="5"/>
    </row>
    <row r="848">
      <c r="S848" s="5"/>
    </row>
    <row r="849">
      <c r="S849" s="5"/>
    </row>
    <row r="850">
      <c r="S850" s="5"/>
    </row>
    <row r="851">
      <c r="S851" s="5"/>
    </row>
    <row r="852">
      <c r="S852" s="5"/>
    </row>
    <row r="853">
      <c r="S853" s="5"/>
    </row>
    <row r="854">
      <c r="S854" s="5"/>
    </row>
    <row r="855">
      <c r="S855" s="5"/>
    </row>
    <row r="856">
      <c r="S856" s="5"/>
    </row>
    <row r="857">
      <c r="S857" s="5"/>
    </row>
    <row r="858">
      <c r="S858" s="5"/>
    </row>
    <row r="859">
      <c r="S859" s="5"/>
    </row>
    <row r="860">
      <c r="S860" s="5"/>
    </row>
    <row r="861">
      <c r="S861" s="5"/>
    </row>
    <row r="862">
      <c r="S862" s="5"/>
    </row>
    <row r="863">
      <c r="S863" s="5"/>
    </row>
    <row r="864">
      <c r="S864" s="5"/>
    </row>
    <row r="865">
      <c r="S865" s="5"/>
    </row>
    <row r="866">
      <c r="S866" s="5"/>
    </row>
    <row r="867">
      <c r="S867" s="5"/>
    </row>
    <row r="868">
      <c r="S868" s="5"/>
    </row>
    <row r="869">
      <c r="S869" s="5"/>
    </row>
    <row r="870">
      <c r="S870" s="5"/>
    </row>
    <row r="871">
      <c r="S871" s="5"/>
    </row>
    <row r="872">
      <c r="S872" s="5"/>
    </row>
    <row r="873">
      <c r="S873" s="5"/>
    </row>
    <row r="874">
      <c r="S874" s="5"/>
    </row>
    <row r="875">
      <c r="S875" s="5"/>
    </row>
    <row r="876">
      <c r="S876" s="5"/>
    </row>
    <row r="877">
      <c r="S877" s="5"/>
    </row>
    <row r="878">
      <c r="S878" s="5"/>
    </row>
    <row r="879">
      <c r="S879" s="5"/>
    </row>
    <row r="880">
      <c r="S880" s="5"/>
    </row>
    <row r="881">
      <c r="S881" s="5"/>
    </row>
    <row r="882">
      <c r="S882" s="5"/>
    </row>
    <row r="883">
      <c r="S883" s="5"/>
    </row>
    <row r="884">
      <c r="S884" s="5"/>
    </row>
    <row r="885">
      <c r="S885" s="5"/>
    </row>
    <row r="886">
      <c r="S886" s="5"/>
    </row>
    <row r="887">
      <c r="S887" s="5"/>
    </row>
    <row r="888">
      <c r="S888" s="5"/>
    </row>
    <row r="889">
      <c r="S889" s="5"/>
    </row>
    <row r="890">
      <c r="S890" s="5"/>
    </row>
    <row r="891">
      <c r="S891" s="5"/>
    </row>
    <row r="892">
      <c r="S892" s="5"/>
    </row>
    <row r="893">
      <c r="S893" s="5"/>
    </row>
    <row r="894">
      <c r="S894" s="5"/>
    </row>
    <row r="895">
      <c r="S895" s="5"/>
    </row>
    <row r="896">
      <c r="S896" s="5"/>
    </row>
    <row r="897">
      <c r="S897" s="5"/>
    </row>
    <row r="898">
      <c r="S898" s="5"/>
    </row>
    <row r="899">
      <c r="S899" s="5"/>
    </row>
    <row r="900">
      <c r="S900" s="5"/>
    </row>
    <row r="901">
      <c r="S901" s="5"/>
    </row>
    <row r="902">
      <c r="S902" s="5"/>
    </row>
    <row r="903">
      <c r="S903" s="5"/>
    </row>
    <row r="904">
      <c r="S904" s="5"/>
    </row>
    <row r="905">
      <c r="S905" s="5"/>
    </row>
    <row r="906">
      <c r="S906" s="5"/>
    </row>
    <row r="907">
      <c r="S907" s="5"/>
    </row>
    <row r="908">
      <c r="S908" s="5"/>
    </row>
    <row r="909">
      <c r="S909" s="5"/>
    </row>
    <row r="910">
      <c r="S910" s="5"/>
    </row>
    <row r="911">
      <c r="S911" s="5"/>
    </row>
    <row r="912">
      <c r="S912" s="5"/>
    </row>
    <row r="913">
      <c r="S913" s="5"/>
    </row>
    <row r="914">
      <c r="S914" s="5"/>
    </row>
    <row r="915">
      <c r="S915" s="5"/>
    </row>
    <row r="916">
      <c r="S916" s="5"/>
    </row>
    <row r="917">
      <c r="S917" s="5"/>
    </row>
    <row r="918">
      <c r="S918" s="5"/>
    </row>
    <row r="919">
      <c r="S919" s="5"/>
    </row>
    <row r="920">
      <c r="S920" s="5"/>
    </row>
    <row r="921">
      <c r="S921" s="5"/>
    </row>
    <row r="922">
      <c r="S922" s="5"/>
    </row>
    <row r="923">
      <c r="S923" s="5"/>
    </row>
    <row r="924">
      <c r="S924" s="5"/>
    </row>
    <row r="925">
      <c r="S925" s="5"/>
    </row>
    <row r="926">
      <c r="S926" s="5"/>
    </row>
    <row r="927">
      <c r="S927" s="5"/>
    </row>
    <row r="928">
      <c r="S928" s="5"/>
    </row>
    <row r="929">
      <c r="S929" s="5"/>
    </row>
    <row r="930">
      <c r="S930" s="5"/>
    </row>
    <row r="931">
      <c r="S931" s="5"/>
    </row>
    <row r="932">
      <c r="S932" s="5"/>
    </row>
    <row r="933">
      <c r="S933" s="5"/>
    </row>
    <row r="934">
      <c r="S934" s="5"/>
    </row>
    <row r="935">
      <c r="S935" s="5"/>
    </row>
    <row r="936">
      <c r="S936" s="5"/>
    </row>
    <row r="937">
      <c r="S937" s="5"/>
    </row>
    <row r="938">
      <c r="S938" s="5"/>
    </row>
    <row r="939">
      <c r="S939" s="5"/>
    </row>
    <row r="940">
      <c r="S940" s="5"/>
    </row>
    <row r="941">
      <c r="S941" s="5"/>
    </row>
    <row r="942">
      <c r="S942" s="5"/>
    </row>
    <row r="943">
      <c r="S943" s="5"/>
    </row>
    <row r="944">
      <c r="S944" s="5"/>
    </row>
    <row r="945">
      <c r="S945" s="5"/>
    </row>
    <row r="946">
      <c r="S946" s="5"/>
    </row>
    <row r="947">
      <c r="S947" s="5"/>
    </row>
    <row r="948">
      <c r="S948" s="5"/>
    </row>
    <row r="949">
      <c r="S949" s="5"/>
    </row>
    <row r="950">
      <c r="S950" s="5"/>
    </row>
    <row r="951">
      <c r="S951" s="5"/>
    </row>
    <row r="952">
      <c r="S952" s="5"/>
    </row>
    <row r="953">
      <c r="S953" s="5"/>
    </row>
    <row r="954">
      <c r="S954" s="5"/>
    </row>
    <row r="955">
      <c r="S955" s="5"/>
    </row>
    <row r="956">
      <c r="S956" s="5"/>
    </row>
    <row r="957">
      <c r="S957" s="5"/>
    </row>
    <row r="958">
      <c r="S958" s="5"/>
    </row>
    <row r="959">
      <c r="S959" s="5"/>
    </row>
    <row r="960">
      <c r="S960" s="5"/>
    </row>
    <row r="961">
      <c r="S961" s="5"/>
    </row>
    <row r="962">
      <c r="S962" s="5"/>
    </row>
    <row r="963">
      <c r="S963" s="5"/>
    </row>
    <row r="964">
      <c r="S964" s="5"/>
    </row>
    <row r="965">
      <c r="S965" s="5"/>
    </row>
    <row r="966">
      <c r="S966" s="5"/>
    </row>
    <row r="967">
      <c r="S967" s="5"/>
    </row>
    <row r="968">
      <c r="S968" s="5"/>
    </row>
    <row r="969">
      <c r="S969" s="5"/>
    </row>
    <row r="970">
      <c r="S970" s="5"/>
    </row>
    <row r="971">
      <c r="S971" s="5"/>
    </row>
    <row r="972">
      <c r="S972" s="5"/>
    </row>
    <row r="973">
      <c r="S973" s="5"/>
    </row>
    <row r="974">
      <c r="S974" s="5"/>
    </row>
    <row r="975">
      <c r="S975" s="5"/>
    </row>
    <row r="976">
      <c r="S976" s="5"/>
    </row>
    <row r="977">
      <c r="S977" s="5"/>
    </row>
    <row r="978">
      <c r="S978" s="5"/>
    </row>
    <row r="979">
      <c r="S979" s="5"/>
    </row>
    <row r="980">
      <c r="S980" s="5"/>
    </row>
    <row r="981">
      <c r="S981" s="5"/>
    </row>
    <row r="982">
      <c r="S982" s="5"/>
    </row>
    <row r="983">
      <c r="S983" s="5"/>
    </row>
    <row r="984">
      <c r="S984" s="5"/>
    </row>
    <row r="985">
      <c r="S985" s="5"/>
    </row>
    <row r="986">
      <c r="S986" s="5"/>
    </row>
    <row r="987">
      <c r="S987" s="5"/>
    </row>
    <row r="988">
      <c r="S988" s="5"/>
    </row>
    <row r="989">
      <c r="S989" s="5"/>
    </row>
    <row r="990">
      <c r="S990" s="5"/>
    </row>
    <row r="991">
      <c r="S991" s="5"/>
    </row>
    <row r="992">
      <c r="S992" s="5"/>
    </row>
    <row r="993">
      <c r="S993" s="5"/>
    </row>
    <row r="994">
      <c r="S994" s="5"/>
    </row>
    <row r="995">
      <c r="S995" s="5"/>
    </row>
    <row r="996">
      <c r="S996" s="5"/>
    </row>
    <row r="997">
      <c r="S997" s="5"/>
    </row>
    <row r="998">
      <c r="S998" s="5"/>
    </row>
    <row r="999">
      <c r="S999" s="5"/>
    </row>
    <row r="1000">
      <c r="S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88"/>
    <col customWidth="1" min="3" max="3" width="22.63"/>
    <col customWidth="1" min="4" max="4" width="23.38"/>
    <col customWidth="1" min="5" max="5" width="19.13"/>
    <col customWidth="1" min="6" max="6" width="18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  <col customWidth="1" min="3" max="3" width="20.63"/>
  </cols>
  <sheetData>
    <row r="1"/>
    <row r="2"/>
    <row r="3"/>
    <row r="4"/>
    <row r="5"/>
    <row r="6"/>
    <row r="7"/>
    <row r="8"/>
    <row r="9" hidden="1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